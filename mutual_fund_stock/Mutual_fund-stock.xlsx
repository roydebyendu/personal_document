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byendu_Roy\mutual_fund_stock\"/>
    </mc:Choice>
  </mc:AlternateContent>
  <bookViews>
    <workbookView xWindow="0" yWindow="0" windowWidth="20490" windowHeight="7755" activeTab="2"/>
  </bookViews>
  <sheets>
    <sheet name="MF_4" sheetId="2" r:id="rId1"/>
    <sheet name="NAV_Calculator" sheetId="3" r:id="rId2"/>
    <sheet name="Profit&amp;loss" sheetId="4" r:id="rId3"/>
    <sheet name="Sheet1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47" i="4" l="1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46" i="4"/>
  <c r="G670" i="4" l="1"/>
  <c r="I670" i="4"/>
  <c r="H670" i="4"/>
  <c r="J670" i="4" s="1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27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G618" i="4" l="1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17" i="4"/>
  <c r="I641" i="4"/>
  <c r="H641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41" i="4" l="1"/>
  <c r="G641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589" i="4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581" i="3"/>
  <c r="C1" i="5" l="1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I613" i="4"/>
  <c r="H613" i="4"/>
  <c r="G613" i="4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58" i="3"/>
  <c r="J613" i="4" l="1"/>
  <c r="G562" i="4"/>
  <c r="G563" i="4"/>
  <c r="G564" i="4"/>
  <c r="G565" i="4"/>
  <c r="G566" i="4"/>
  <c r="G567" i="4"/>
  <c r="G568" i="4"/>
  <c r="G569" i="4"/>
  <c r="G585" i="4" s="1"/>
  <c r="G570" i="4"/>
  <c r="G571" i="4"/>
  <c r="G572" i="4"/>
  <c r="G573" i="4"/>
  <c r="G574" i="4"/>
  <c r="G575" i="4"/>
  <c r="G576" i="4"/>
  <c r="G577" i="4"/>
  <c r="G578" i="4"/>
  <c r="G579" i="4"/>
  <c r="G580" i="4"/>
  <c r="G561" i="4"/>
  <c r="I585" i="4"/>
  <c r="H585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35" i="3"/>
  <c r="J585" i="4" l="1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33" i="4"/>
  <c r="I557" i="4"/>
  <c r="H557" i="4"/>
  <c r="J557" i="4" s="1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G557" i="4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12" i="3"/>
  <c r="G506" i="4" l="1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05" i="4"/>
  <c r="G529" i="4" s="1"/>
  <c r="I529" i="4"/>
  <c r="H529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489" i="3"/>
  <c r="J529" i="4" l="1"/>
  <c r="G473" i="4"/>
  <c r="G478" i="4"/>
  <c r="G479" i="4"/>
  <c r="G480" i="4"/>
  <c r="G481" i="4"/>
  <c r="G482" i="4"/>
  <c r="G483" i="4"/>
  <c r="G484" i="4"/>
  <c r="G485" i="4"/>
  <c r="G486" i="4"/>
  <c r="G501" i="4" s="1"/>
  <c r="G487" i="4"/>
  <c r="G488" i="4"/>
  <c r="G489" i="4"/>
  <c r="G490" i="4"/>
  <c r="G491" i="4"/>
  <c r="G492" i="4"/>
  <c r="G493" i="4"/>
  <c r="G494" i="4"/>
  <c r="G495" i="4"/>
  <c r="G496" i="4"/>
  <c r="G477" i="4"/>
  <c r="I501" i="4"/>
  <c r="H501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66" i="3"/>
  <c r="J501" i="4" l="1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49" i="4"/>
  <c r="I473" i="4"/>
  <c r="H473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43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J473" i="4" l="1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21" i="4"/>
  <c r="I445" i="4"/>
  <c r="H445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G445" i="4"/>
  <c r="J445" i="4" l="1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392" i="4"/>
  <c r="I416" i="4"/>
  <c r="H416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G416" i="4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397" i="3"/>
  <c r="J416" i="4" l="1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64" i="4"/>
  <c r="G388" i="4" s="1"/>
  <c r="I388" i="4"/>
  <c r="H388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74" i="3"/>
  <c r="J388" i="4" l="1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35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I359" i="4"/>
  <c r="H359" i="4"/>
  <c r="G359" i="4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51" i="3"/>
  <c r="J359" i="4" l="1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07" i="4"/>
  <c r="G308" i="4"/>
  <c r="G309" i="4"/>
  <c r="G310" i="4"/>
  <c r="G311" i="4"/>
  <c r="G331" i="4" s="1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07" i="4"/>
  <c r="I331" i="4"/>
  <c r="H331" i="4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28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289" i="3"/>
  <c r="E314" i="3"/>
  <c r="E315" i="3"/>
  <c r="E316" i="3"/>
  <c r="E317" i="3"/>
  <c r="E318" i="3"/>
  <c r="E319" i="3"/>
  <c r="E320" i="3"/>
  <c r="E321" i="3"/>
  <c r="E322" i="3"/>
  <c r="E323" i="3"/>
  <c r="E324" i="3"/>
  <c r="E313" i="3"/>
  <c r="J331" i="4" l="1"/>
  <c r="F294" i="3"/>
  <c r="F293" i="3"/>
  <c r="F290" i="3"/>
  <c r="F292" i="3"/>
  <c r="F291" i="3"/>
  <c r="F289" i="3"/>
  <c r="F295" i="3"/>
  <c r="F296" i="3"/>
  <c r="F297" i="3"/>
  <c r="F303" i="3"/>
  <c r="F298" i="3"/>
  <c r="F308" i="3"/>
  <c r="F307" i="3"/>
  <c r="F306" i="3"/>
  <c r="G303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79" i="4"/>
  <c r="F302" i="3"/>
  <c r="F301" i="3"/>
  <c r="F300" i="3"/>
  <c r="F299" i="3"/>
  <c r="F304" i="3"/>
  <c r="F305" i="3"/>
  <c r="I303" i="4"/>
  <c r="H303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79" i="4"/>
  <c r="J303" i="4" l="1"/>
  <c r="I272" i="4"/>
  <c r="H272" i="4"/>
  <c r="J271" i="4"/>
  <c r="G271" i="4"/>
  <c r="J270" i="4"/>
  <c r="G270" i="4"/>
  <c r="J269" i="4"/>
  <c r="G269" i="4"/>
  <c r="J268" i="4"/>
  <c r="G268" i="4"/>
  <c r="J267" i="4"/>
  <c r="G267" i="4"/>
  <c r="J266" i="4"/>
  <c r="G266" i="4"/>
  <c r="J265" i="4"/>
  <c r="G265" i="4"/>
  <c r="J264" i="4"/>
  <c r="G264" i="4"/>
  <c r="J263" i="4"/>
  <c r="G263" i="4"/>
  <c r="J262" i="4"/>
  <c r="G262" i="4"/>
  <c r="J261" i="4"/>
  <c r="G261" i="4"/>
  <c r="E274" i="3"/>
  <c r="E275" i="3"/>
  <c r="E276" i="3"/>
  <c r="E277" i="3"/>
  <c r="E278" i="3"/>
  <c r="E279" i="3"/>
  <c r="E280" i="3"/>
  <c r="E281" i="3"/>
  <c r="E282" i="3"/>
  <c r="E283" i="3"/>
  <c r="E273" i="3"/>
  <c r="J247" i="4"/>
  <c r="J248" i="4"/>
  <c r="J249" i="4"/>
  <c r="J250" i="4"/>
  <c r="J251" i="4"/>
  <c r="J252" i="4"/>
  <c r="J253" i="4"/>
  <c r="J254" i="4"/>
  <c r="J255" i="4"/>
  <c r="J246" i="4"/>
  <c r="J256" i="4"/>
  <c r="J257" i="4"/>
  <c r="G247" i="4"/>
  <c r="G248" i="4"/>
  <c r="G249" i="4"/>
  <c r="G250" i="4"/>
  <c r="G251" i="4"/>
  <c r="G252" i="4"/>
  <c r="G253" i="4"/>
  <c r="G254" i="4"/>
  <c r="G255" i="4"/>
  <c r="G256" i="4"/>
  <c r="G246" i="4"/>
  <c r="E40" i="3"/>
  <c r="E41" i="3"/>
  <c r="E42" i="3"/>
  <c r="E43" i="3"/>
  <c r="E44" i="3"/>
  <c r="E45" i="3"/>
  <c r="E31" i="3"/>
  <c r="E32" i="3"/>
  <c r="E33" i="3"/>
  <c r="E34" i="3"/>
  <c r="E35" i="3"/>
  <c r="E36" i="3"/>
  <c r="E22" i="3"/>
  <c r="E23" i="3"/>
  <c r="E24" i="3"/>
  <c r="E25" i="3"/>
  <c r="E26" i="3"/>
  <c r="E27" i="3"/>
  <c r="E260" i="3"/>
  <c r="E261" i="3"/>
  <c r="E262" i="3"/>
  <c r="E263" i="3"/>
  <c r="E264" i="3"/>
  <c r="E265" i="3"/>
  <c r="E266" i="3"/>
  <c r="E267" i="3"/>
  <c r="E268" i="3"/>
  <c r="E269" i="3"/>
  <c r="E259" i="3"/>
  <c r="E245" i="3"/>
  <c r="H233" i="3"/>
  <c r="H234" i="3"/>
  <c r="H235" i="3"/>
  <c r="H236" i="3"/>
  <c r="H237" i="3"/>
  <c r="H232" i="3"/>
  <c r="E231" i="3"/>
  <c r="E217" i="3"/>
  <c r="E206" i="3"/>
  <c r="E195" i="3"/>
  <c r="E184" i="3"/>
  <c r="E173" i="3"/>
  <c r="E162" i="3"/>
  <c r="E151" i="3"/>
  <c r="E140" i="3"/>
  <c r="E129" i="3"/>
  <c r="E119" i="3"/>
  <c r="E109" i="3"/>
  <c r="E99" i="3"/>
  <c r="E89" i="3"/>
  <c r="E79" i="3"/>
  <c r="E69" i="3"/>
  <c r="E59" i="3"/>
  <c r="E49" i="3"/>
  <c r="E39" i="3"/>
  <c r="E30" i="3"/>
  <c r="E21" i="3"/>
  <c r="E13" i="3"/>
  <c r="E14" i="3"/>
  <c r="E15" i="3"/>
  <c r="E16" i="3"/>
  <c r="E17" i="3"/>
  <c r="E18" i="3"/>
  <c r="E12" i="3"/>
  <c r="E4" i="3"/>
  <c r="E5" i="3"/>
  <c r="E6" i="3"/>
  <c r="E7" i="3"/>
  <c r="E8" i="3"/>
  <c r="E9" i="3"/>
  <c r="E3" i="3"/>
  <c r="J272" i="4" l="1"/>
</calcChain>
</file>

<file path=xl/sharedStrings.xml><?xml version="1.0" encoding="utf-8"?>
<sst xmlns="http://schemas.openxmlformats.org/spreadsheetml/2006/main" count="2709" uniqueCount="185">
  <si>
    <t>DATE</t>
  </si>
  <si>
    <t>Regular</t>
  </si>
  <si>
    <t>Nippon India Large Cap Fund - Growth</t>
  </si>
  <si>
    <t>Franklin India Smaller Companies Fund - Growth</t>
  </si>
  <si>
    <t>Quant Small Cap Fund</t>
  </si>
  <si>
    <t>ISIN</t>
  </si>
  <si>
    <t>Name of Mutual Fund</t>
  </si>
  <si>
    <t>Installment</t>
  </si>
  <si>
    <t>Unit provided</t>
  </si>
  <si>
    <t>NAV</t>
  </si>
  <si>
    <t>JUN</t>
  </si>
  <si>
    <t>INF769K01010</t>
  </si>
  <si>
    <t>Mirae Asset Mutual Fund Large Cap Fund-Regular Growth Plan-Growth -- (SIP)</t>
  </si>
  <si>
    <t>INF200K01T28</t>
  </si>
  <si>
    <t>SBI Small Cap Fund Regular Growth -- (SIP)</t>
  </si>
  <si>
    <t>INF200K01180</t>
  </si>
  <si>
    <t>SBI BLUE CHIP FUND -- (SIP)</t>
  </si>
  <si>
    <t>INF109K01BI0</t>
  </si>
  <si>
    <t>ICICI Prudential Smallcap Fund - Growth -- (SIP)</t>
  </si>
  <si>
    <t>INF109K01BL4</t>
  </si>
  <si>
    <t>ICICI Prudential Bluechip Fund - Growth -- (SIP)</t>
  </si>
  <si>
    <t>INF846K01164</t>
  </si>
  <si>
    <t>Axis Bluechip Fund -Regular Plan - Growth -- (SIP)</t>
  </si>
  <si>
    <t>INF846K01K01</t>
  </si>
  <si>
    <t>Axis Small Cap FundRegular GrowthGrowth -- (SIP)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</si>
  <si>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</si>
  <si>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</si>
  <si>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</si>
  <si>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</si>
  <si>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</si>
  <si>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</si>
  <si>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</si>
  <si>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</si>
  <si>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</si>
  <si>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</si>
  <si>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</si>
  <si>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</si>
  <si>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INF204K01HY3</t>
  </si>
  <si>
    <t>NIPPON INDIA SMALL CAP FUND - GROWTH PLAN - GROWTH -- (SIP)</t>
  </si>
  <si>
    <t>ICICI Prudential Bluechip Fund - Growth --  (SIP)</t>
  </si>
  <si>
    <t>INF204K01562</t>
  </si>
  <si>
    <t>INF090I01569</t>
  </si>
  <si>
    <t>INF966L01AA0</t>
  </si>
  <si>
    <t>May &amp; June</t>
  </si>
  <si>
    <t>August</t>
  </si>
  <si>
    <t>September</t>
  </si>
  <si>
    <t>October</t>
  </si>
  <si>
    <t>November</t>
  </si>
  <si>
    <t>December</t>
  </si>
  <si>
    <t>January</t>
  </si>
  <si>
    <t>Fabruary</t>
  </si>
  <si>
    <t>Merch</t>
  </si>
  <si>
    <t>FRANKLIN INDIA SMALLER COMPANIES FUND -- (SIP)</t>
  </si>
  <si>
    <t>Nippon India Large Cap Fund - Growth Plan Growth Option -- (SIP)</t>
  </si>
  <si>
    <t>Quant Small Cap Fund-Regular Plan-Growth -- (SIP)</t>
  </si>
  <si>
    <t>Company Name</t>
  </si>
  <si>
    <t>Balance</t>
  </si>
  <si>
    <t>Market Rate</t>
  </si>
  <si>
    <t>Calculated</t>
  </si>
  <si>
    <t>Market Value</t>
  </si>
  <si>
    <t>Investment</t>
  </si>
  <si>
    <t>V</t>
  </si>
  <si>
    <t>Value</t>
  </si>
  <si>
    <t>Scheme</t>
  </si>
  <si>
    <t>TYPE</t>
  </si>
  <si>
    <t>Axis Small Cap Fund</t>
  </si>
  <si>
    <t>Small Cap</t>
  </si>
  <si>
    <t>Axis Bluechip Fund</t>
  </si>
  <si>
    <t>Large Cap</t>
  </si>
  <si>
    <t>SBI Small Cap Fund</t>
  </si>
  <si>
    <t>SBI Bluechip Fund</t>
  </si>
  <si>
    <t>ICICI prudential small cap fund</t>
  </si>
  <si>
    <t>ICICI prudential bluechip fund</t>
  </si>
  <si>
    <t>Mirae Asset Large Cap Fund</t>
  </si>
  <si>
    <t>Nippon India Small Cap Fund</t>
  </si>
  <si>
    <t>Nippon India Large Cap Fund</t>
  </si>
  <si>
    <t>Franklin India Smaller Companies Fund</t>
  </si>
  <si>
    <t>Bank of India Bluechip Fund</t>
  </si>
  <si>
    <t>Bank of India Small Cap Fund</t>
  </si>
  <si>
    <t>Edelweiss Small Cap Fund</t>
  </si>
  <si>
    <t>Edelweiss Large Cap Fund</t>
  </si>
  <si>
    <t>UTI Small Cap Fund</t>
  </si>
  <si>
    <t>Tata Small Cap Fund</t>
  </si>
  <si>
    <t>Bandhan Small Cap Fund</t>
  </si>
  <si>
    <t>Bandhan Large Cap Fund</t>
  </si>
  <si>
    <t>INF761K01ER3</t>
  </si>
  <si>
    <t>Bank of India SMALL CAP FUND Regular Plan - Growth -- (SIP)</t>
  </si>
  <si>
    <t>INF754K01046</t>
  </si>
  <si>
    <t>Edelweiss Large Cap Fund - Growth -- (SIP)</t>
  </si>
  <si>
    <t>INF761K01FO7</t>
  </si>
  <si>
    <t>Bank of India BlueChip Fund - Regular Plan - Growth -- (SIP)</t>
  </si>
  <si>
    <t>INF754K01JJ4</t>
  </si>
  <si>
    <t>Edelweiss Small Cap Fund-Regular Plan-Growth -- (SIP)</t>
  </si>
  <si>
    <t>INF789F1AUO6</t>
  </si>
  <si>
    <t>UTI SMALL CAP FUND-REGULAR GROWTH PLAN -- (SIP)</t>
  </si>
  <si>
    <t>INF277K015O2</t>
  </si>
  <si>
    <t>TATA SMALL CAP FUND ¿ REGULAR - PLAN GROWTH -- (SIP)</t>
  </si>
  <si>
    <t>INF194K01516</t>
  </si>
  <si>
    <t>Bandhan Large Cap Fund-Growth-(Regular Plan) -- (SIP)</t>
  </si>
  <si>
    <t>INF194KB1AJ8</t>
  </si>
  <si>
    <t>Bandhan Small Cap Fund Regular Plan-Growth -- (SIP)</t>
  </si>
  <si>
    <t>AXIS MUTUAL FUND</t>
  </si>
  <si>
    <t>BLUECHIP FD- REGULAR PLAN GROWTH</t>
  </si>
  <si>
    <t>SMALL CAP FD REG PL GROWTH OP</t>
  </si>
  <si>
    <t>BANDHAN MUTUAL FUND</t>
  </si>
  <si>
    <t>EMERGING BUSINSESSES FD REG GROWTH</t>
  </si>
  <si>
    <t>LARGE CAP FUND RGULAR GROWTH</t>
  </si>
  <si>
    <t>BANK OF INDIA MUTUAL FUND</t>
  </si>
  <si>
    <t>BLUECHIP FUND REGULAR PLAN GROWTH</t>
  </si>
  <si>
    <t>SMALL CAP FUND REG GROWTH OP</t>
  </si>
  <si>
    <t>EDELWEISS MUTUAL FUND</t>
  </si>
  <si>
    <t>SMLL CP FD REG GW OP</t>
  </si>
  <si>
    <t>TOP 100 FUND REG-GROWTH-OPEN ED</t>
  </si>
  <si>
    <t>FRANKLIN TEMPLETON ASSET MANAGEMENT (INDIA) PRIVATE LIMITED</t>
  </si>
  <si>
    <t>INDIA SMALLER CO. FUND GROWTH OPEN ENDED</t>
  </si>
  <si>
    <t>ICICI PRUDENTIAL MUTUAL FUND</t>
  </si>
  <si>
    <t>BLUECHIP FUND GROWTH</t>
  </si>
  <si>
    <t>SMALL CAP FD GROWTH</t>
  </si>
  <si>
    <t>MIRAE ASSET MUTUAL FUND</t>
  </si>
  <si>
    <t>LARGE CAP FUND REG PL GRWT OPEN ED</t>
  </si>
  <si>
    <t>NIPPON INDIA MUTUAL FUND</t>
  </si>
  <si>
    <t>LARG CAP FD GROWTH PL GROWTH OP</t>
  </si>
  <si>
    <t>SMALL CAP FUND GROWTH PL - GROWTH OPEN ENDED</t>
  </si>
  <si>
    <t>QUANT MUTUAL FUND</t>
  </si>
  <si>
    <t>SMALL CAP FUND RG GROWTH OPEN</t>
  </si>
  <si>
    <t>SBI MUTUAL FUND</t>
  </si>
  <si>
    <t>BLUE CHIP FUND REGULAR PLAN GROWTH OPEN ENDED</t>
  </si>
  <si>
    <t>SMALL CAP FUND REGULAR GROWTH</t>
  </si>
  <si>
    <t>TATA MUTUAL FUND</t>
  </si>
  <si>
    <t>SMALL CAP FUND REG PLAN GROWTH OP</t>
  </si>
  <si>
    <t>UTI MUTUAL FUND</t>
  </si>
  <si>
    <t>SMALL CAP FUND REGULAR PLAN GROWTH</t>
  </si>
  <si>
    <t>Type</t>
  </si>
  <si>
    <t>Value %</t>
  </si>
  <si>
    <t>MF_4</t>
  </si>
  <si>
    <t>OCTOER</t>
  </si>
  <si>
    <t>BANK OF INDIA SMALL CAP FUND REGULAR PLAN - GROWTH -- (SIP)</t>
  </si>
  <si>
    <t>FRANKLIN INDIA SMALLER COMPANIES FUND-GROWTH -- (SIP)</t>
  </si>
  <si>
    <t>SBI SMALL CAP FUND REGULAR GROWTH -- (SIP)</t>
  </si>
  <si>
    <t>SBI BLUE CHIP FUND - GROWTH -- (SIP)</t>
  </si>
  <si>
    <t>ICICI PRUDENTIAL SMALLCAP FUND - GROWTH -- (SIP)</t>
  </si>
  <si>
    <t>ICICI PRUDENTIAL BLUECHIP FUND - GROWTH -- (SIP)</t>
  </si>
  <si>
    <t>QUANT SMALL CAP FUND-REGULAR PLAN-GROWTH -- (SIP)</t>
  </si>
  <si>
    <t>AXIS BLUECHIP FUND -REGULAR PLAN - GROWTH -- (SIP)</t>
  </si>
  <si>
    <t>AXIS SMALL CAP FUNDREGULAR GROWTHGROWTH -- (SIP)</t>
  </si>
  <si>
    <t>MIRAE ASSET MUTUAL FUND LARGE CAP FUND-REGULAR GROWTH PLAN-GROWTH -- (SIP)</t>
  </si>
  <si>
    <t>NIPPON INDIA LARGE CAP FUND - GROWTH PLAN GROWTH OPTION -- (SIP)</t>
  </si>
  <si>
    <t>INF179KA1RZ8</t>
  </si>
  <si>
    <t>BANDHAN LARGE CAP FUND-GROWTH-(REGULAR PLAN) -- (SIP)</t>
  </si>
  <si>
    <t>BANDHAN SMALL CAP FUND REGULAR PLAN-GROWTH -- (SIP)</t>
  </si>
  <si>
    <t>TATA SMALL CAP FUND REGULAR - PLAN GROWTH -- (SIP)</t>
  </si>
  <si>
    <t>BANK OF INDIA BLUECHIP FUND - REGULAR PLAN - GROWTH -- (SIP)</t>
  </si>
  <si>
    <t>EDELWEISS SMALL CAP FUND-REGULAR PLAN-GROWTH -- (SIP)</t>
  </si>
  <si>
    <t>EDELWEISS LARGE CAP FUND - GROWTH -- (SIP)</t>
  </si>
  <si>
    <t>HDFC SMALL CAP FUND - REGULAR PLAN - GROWTH -- (SIP)</t>
  </si>
  <si>
    <t>Hdfc Small Cap Fund</t>
  </si>
  <si>
    <t xml:space="preserve">FRANKLIN TEMPLETON ASSET MANAGEMENT (INDIA) PRIVATE LIMITED INDIA </t>
  </si>
  <si>
    <t>HDFC MUTUAL FUND</t>
  </si>
  <si>
    <t xml:space="preserve">EDELWEISS MUTUAL FUND TOP 100 FUND </t>
  </si>
  <si>
    <t xml:space="preserve">MIRAE ASSET MUTUAL FUND </t>
  </si>
  <si>
    <t>REG-GROWTH-OPEN ED</t>
  </si>
  <si>
    <t>SMALLER CO. FUND GROWTH OPEN ENDED</t>
  </si>
  <si>
    <t>REGULAR PLAN GROWTH OPEN ENDED</t>
  </si>
  <si>
    <t>REGULAR GROWTH</t>
  </si>
  <si>
    <t>REGULAR PLAN GROWTH</t>
  </si>
  <si>
    <t>SBI MUTUAL FUND BLUE CHIP FUND</t>
  </si>
  <si>
    <t>SBI MUTUAL FUND SMALL CAP FUND</t>
  </si>
  <si>
    <t>UTI MUTUAL FUND SMALL CAP FUND</t>
  </si>
  <si>
    <t>JANUARY(25)</t>
  </si>
  <si>
    <t>FABRUARY(25)</t>
  </si>
  <si>
    <t>MARCH(25)</t>
  </si>
  <si>
    <t>APRIL(25)</t>
  </si>
  <si>
    <t>MAY(25)</t>
  </si>
  <si>
    <t>JUN(25)</t>
  </si>
  <si>
    <t>JULY(25)</t>
  </si>
  <si>
    <t>AUGUST(25)</t>
  </si>
  <si>
    <t>SEPTEMBER(25)</t>
  </si>
  <si>
    <t>BANK OF INDIA LARGE CAP FUND REGULAR PLAN - GROWTH -- (SIP)</t>
  </si>
  <si>
    <t>AXIS LARGE CAP FUND - REGULAR GROWTH -- (SIP)</t>
  </si>
  <si>
    <t>SBI LARGE CAP FUND - GROWTH -- (SIP)</t>
  </si>
  <si>
    <t>ICICI PRUDENTIAL LARGE CAP FUND(ERSTWHILE BLUECHIP FUND) - GROWTH -- (SIP)</t>
  </si>
  <si>
    <t>FRANKLIN INDIA SMALL CAP FUND - GROWTH -- (SIP)</t>
  </si>
  <si>
    <t>OCTOBER(25)</t>
  </si>
  <si>
    <t>NOVEMBER(25)</t>
  </si>
  <si>
    <t>DECEMBER(25)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</si>
</sst>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charset val="1"/>
      <scheme val="minor"/>
    </font>
    <font>
      <sz val="11"/>
      <color theme="1"/>
      <name val="Segoe U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242424"/>
      <name val="FluentSystemIcons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89">
    <xf numFmtId="0" fontId="0" fillId="0" borderId="0" xfId="0"/>
    <xf numFmtId="0" fontId="4" fillId="0" borderId="0" xfId="0" applyFont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1" fillId="0" borderId="0" xfId="0" applyFont="1" applyAlignment="1"/>
    <xf numFmtId="0" fontId="3" fillId="0" borderId="3" xfId="0" applyFont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3" fillId="0" borderId="3" xfId="0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0" fontId="3" fillId="5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4" fontId="3" fillId="5" borderId="4" xfId="0" applyNumberFormat="1" applyFont="1" applyFill="1" applyBorder="1" applyAlignment="1">
      <alignment horizontal="right" vertical="center"/>
    </xf>
    <xf numFmtId="0" fontId="3" fillId="5" borderId="4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4" fontId="3" fillId="0" borderId="2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4" fontId="5" fillId="0" borderId="4" xfId="0" applyNumberFormat="1" applyFont="1" applyBorder="1" applyAlignment="1">
      <alignment horizontal="right" vertical="center"/>
    </xf>
    <xf numFmtId="0" fontId="3" fillId="5" borderId="0" xfId="0" applyFont="1" applyFill="1" applyAlignment="1">
      <alignment vertical="center"/>
    </xf>
    <xf numFmtId="4" fontId="3" fillId="5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5" borderId="3" xfId="0" applyFont="1" applyFill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 wrapText="1"/>
    </xf>
    <xf numFmtId="0" fontId="3" fillId="6" borderId="4" xfId="0" applyFont="1" applyFill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0" fontId="8" fillId="0" borderId="0" xfId="0" applyFont="1" applyAlignment="1">
      <alignment wrapText="1"/>
    </xf>
    <xf numFmtId="0" fontId="8" fillId="0" borderId="0" xfId="0" applyFont="1"/>
    <xf numFmtId="15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9" fillId="2" borderId="0" xfId="0" applyFont="1" applyFill="1" applyAlignment="1">
      <alignment horizontal="right" vertical="center" wrapText="1"/>
    </xf>
    <xf numFmtId="0" fontId="8" fillId="2" borderId="0" xfId="0" applyFont="1" applyFill="1"/>
    <xf numFmtId="0" fontId="8" fillId="0" borderId="0" xfId="0" applyFont="1" applyAlignment="1"/>
    <xf numFmtId="0" fontId="10" fillId="0" borderId="0" xfId="0" applyFont="1" applyAlignment="1">
      <alignment wrapText="1"/>
    </xf>
    <xf numFmtId="0" fontId="10" fillId="0" borderId="0" xfId="0" applyFont="1" applyAlignment="1"/>
    <xf numFmtId="0" fontId="7" fillId="0" borderId="0" xfId="0" applyFont="1" applyAlignment="1">
      <alignment wrapText="1" readingOrder="1"/>
    </xf>
    <xf numFmtId="0" fontId="8" fillId="0" borderId="0" xfId="0" applyFont="1" applyAlignment="1">
      <alignment wrapText="1" readingOrder="1"/>
    </xf>
    <xf numFmtId="0" fontId="10" fillId="0" borderId="0" xfId="0" applyFont="1" applyAlignment="1">
      <alignment wrapText="1" readingOrder="1"/>
    </xf>
    <xf numFmtId="0" fontId="9" fillId="0" borderId="0" xfId="0" applyFont="1" applyAlignment="1">
      <alignment wrapText="1" readingOrder="1"/>
    </xf>
    <xf numFmtId="0" fontId="9" fillId="0" borderId="0" xfId="0" applyFont="1" applyAlignment="1">
      <alignment vertical="top" readingOrder="1"/>
    </xf>
    <xf numFmtId="0" fontId="8" fillId="0" borderId="0" xfId="0" applyFont="1" applyAlignment="1">
      <alignment vertical="top"/>
    </xf>
    <xf numFmtId="0" fontId="7" fillId="0" borderId="0" xfId="0" applyFont="1" applyAlignment="1">
      <alignment vertical="top" readingOrder="1"/>
    </xf>
    <xf numFmtId="0" fontId="8" fillId="0" borderId="0" xfId="0" applyFont="1" applyAlignment="1">
      <alignment vertical="top" readingOrder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4" fontId="3" fillId="0" borderId="4" xfId="0" applyNumberFormat="1" applyFont="1" applyBorder="1" applyAlignment="1">
      <alignment horizontal="right" vertical="center" wrapText="1"/>
    </xf>
    <xf numFmtId="0" fontId="6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5" borderId="2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8" fillId="6" borderId="0" xfId="0" applyFont="1" applyFill="1"/>
    <xf numFmtId="0" fontId="2" fillId="4" borderId="7" xfId="0" applyFont="1" applyFill="1" applyBorder="1" applyAlignment="1">
      <alignment vertical="center" wrapText="1"/>
    </xf>
    <xf numFmtId="0" fontId="0" fillId="0" borderId="8" xfId="0" applyBorder="1"/>
    <xf numFmtId="0" fontId="0" fillId="0" borderId="1" xfId="0" applyBorder="1"/>
    <xf numFmtId="0" fontId="3" fillId="3" borderId="9" xfId="0" applyFont="1" applyFill="1" applyBorder="1" applyAlignment="1">
      <alignment horizontal="right" vertical="center" wrapText="1"/>
    </xf>
    <xf numFmtId="0" fontId="0" fillId="0" borderId="0" xfId="0" applyBorder="1"/>
    <xf numFmtId="0" fontId="8" fillId="0" borderId="0" xfId="0" applyFont="1" applyFill="1"/>
    <xf numFmtId="4" fontId="3" fillId="0" borderId="4" xfId="0" applyNumberFormat="1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86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A219" sqref="A219"/>
    </sheetView>
  </sheetViews>
  <sheetFormatPr defaultRowHeight="15"/>
  <cols>
    <col min="1" max="1" width="9.5703125" style="45" bestFit="1" customWidth="1"/>
    <col min="2" max="2" width="9.140625" style="45"/>
    <col min="3" max="3" width="9.5703125" style="45" bestFit="1" customWidth="1"/>
    <col min="4" max="4" width="9.140625" style="45"/>
    <col min="5" max="5" width="9.42578125" style="45" bestFit="1" customWidth="1"/>
    <col min="6" max="6" width="9.140625" style="45"/>
    <col min="7" max="7" width="9.5703125" style="45" bestFit="1" customWidth="1"/>
    <col min="8" max="10" width="9.140625" style="45"/>
    <col min="11" max="11" width="10" style="45" customWidth="1"/>
    <col min="12" max="12" width="9.140625" style="45"/>
    <col min="13" max="13" width="10.28515625" style="45" customWidth="1"/>
    <col min="14" max="16" width="9.140625" style="45"/>
    <col min="17" max="17" width="9.5703125" style="45" bestFit="1" customWidth="1"/>
    <col min="18" max="20" width="9.140625" style="45"/>
    <col min="21" max="21" width="10.85546875" style="45" bestFit="1" customWidth="1"/>
    <col min="22" max="22" width="9.140625" style="45"/>
    <col min="23" max="23" width="9.5703125" style="45" bestFit="1" customWidth="1"/>
    <col min="24" max="24" width="9.140625" style="45"/>
    <col min="25" max="25" width="10.140625" style="45" customWidth="1"/>
    <col min="26" max="28" width="9.140625" style="45"/>
    <col min="29" max="29" width="10" style="45" customWidth="1"/>
    <col min="30" max="30" width="9.140625" style="45"/>
    <col min="31" max="31" width="10.28515625" style="45" customWidth="1"/>
    <col min="32" max="32" width="9.140625" style="45"/>
    <col min="33" max="33" width="10.85546875" style="45" customWidth="1"/>
    <col min="34" max="34" width="9.140625" style="45"/>
    <col min="35" max="35" width="10.85546875" style="45" customWidth="1"/>
    <col min="36" max="36" width="9.140625" style="45"/>
    <col min="37" max="37" width="10.7109375" style="45" customWidth="1"/>
    <col min="38" max="16384" width="9.140625" style="45"/>
  </cols>
  <sheetData>
    <row r="1" spans="1:56" ht="75">
      <c r="A1" s="53" t="s">
        <v>0</v>
      </c>
      <c r="B1" s="54"/>
      <c r="C1" s="53" t="s">
        <v>65</v>
      </c>
      <c r="D1" s="53"/>
      <c r="E1" s="53" t="s">
        <v>67</v>
      </c>
      <c r="F1" s="53"/>
      <c r="G1" s="53" t="s">
        <v>69</v>
      </c>
      <c r="H1" s="53"/>
      <c r="I1" s="53" t="s">
        <v>70</v>
      </c>
      <c r="J1" s="53"/>
      <c r="K1" s="53" t="s">
        <v>71</v>
      </c>
      <c r="L1" s="53"/>
      <c r="M1" s="53" t="s">
        <v>72</v>
      </c>
      <c r="N1" s="53"/>
      <c r="O1" s="53" t="s">
        <v>73</v>
      </c>
      <c r="P1" s="53"/>
      <c r="Q1" s="53" t="s">
        <v>74</v>
      </c>
      <c r="R1" s="53"/>
      <c r="S1" s="53" t="s">
        <v>75</v>
      </c>
      <c r="T1" s="53"/>
      <c r="U1" s="53" t="s">
        <v>76</v>
      </c>
      <c r="V1" s="53"/>
      <c r="W1" s="53" t="s">
        <v>4</v>
      </c>
      <c r="X1" s="53"/>
      <c r="Y1" s="55" t="s">
        <v>78</v>
      </c>
      <c r="Z1" s="55"/>
      <c r="AA1" s="55" t="s">
        <v>77</v>
      </c>
      <c r="AB1" s="55"/>
      <c r="AC1" s="55" t="s">
        <v>79</v>
      </c>
      <c r="AD1" s="55"/>
      <c r="AE1" s="55" t="s">
        <v>80</v>
      </c>
      <c r="AF1" s="55"/>
      <c r="AG1" s="55" t="s">
        <v>81</v>
      </c>
      <c r="AH1" s="55"/>
      <c r="AI1" s="55" t="s">
        <v>82</v>
      </c>
      <c r="AJ1" s="55"/>
      <c r="AK1" s="55" t="s">
        <v>83</v>
      </c>
      <c r="AL1" s="55"/>
      <c r="AM1" s="55" t="s">
        <v>84</v>
      </c>
      <c r="AN1" s="51"/>
      <c r="AO1" s="51" t="s">
        <v>155</v>
      </c>
      <c r="AP1" s="51"/>
      <c r="AQ1" s="51"/>
      <c r="AR1" s="51"/>
      <c r="AS1" s="51"/>
      <c r="AT1" s="52"/>
      <c r="AU1" s="50"/>
      <c r="AV1" s="50"/>
      <c r="AW1" s="50"/>
      <c r="AX1" s="50"/>
      <c r="AY1" s="50"/>
      <c r="AZ1" s="50"/>
      <c r="BA1" s="50"/>
      <c r="BB1" s="50"/>
      <c r="BC1" s="50"/>
      <c r="BD1" s="50"/>
    </row>
    <row r="2" spans="1:56">
      <c r="A2" s="57" t="s">
        <v>64</v>
      </c>
      <c r="B2" s="59"/>
      <c r="C2" s="57" t="s">
        <v>66</v>
      </c>
      <c r="D2" s="57"/>
      <c r="E2" s="57" t="s">
        <v>68</v>
      </c>
      <c r="F2" s="57"/>
      <c r="G2" s="57" t="s">
        <v>66</v>
      </c>
      <c r="H2" s="57"/>
      <c r="I2" s="57" t="s">
        <v>68</v>
      </c>
      <c r="J2" s="57"/>
      <c r="K2" s="57" t="s">
        <v>66</v>
      </c>
      <c r="L2" s="57"/>
      <c r="M2" s="57" t="s">
        <v>68</v>
      </c>
      <c r="N2" s="57"/>
      <c r="O2" s="57" t="s">
        <v>68</v>
      </c>
      <c r="P2" s="57"/>
      <c r="Q2" s="57" t="s">
        <v>66</v>
      </c>
      <c r="R2" s="57"/>
      <c r="S2" s="57" t="s">
        <v>68</v>
      </c>
      <c r="T2" s="57"/>
      <c r="U2" s="57" t="s">
        <v>66</v>
      </c>
      <c r="V2" s="57"/>
      <c r="W2" s="57" t="s">
        <v>66</v>
      </c>
      <c r="X2" s="57"/>
      <c r="Y2" s="57" t="s">
        <v>66</v>
      </c>
      <c r="Z2" s="57"/>
      <c r="AA2" s="57" t="s">
        <v>68</v>
      </c>
      <c r="AB2" s="60"/>
      <c r="AC2" s="57" t="s">
        <v>66</v>
      </c>
      <c r="AD2" s="57"/>
      <c r="AE2" s="57" t="s">
        <v>68</v>
      </c>
      <c r="AF2" s="60"/>
      <c r="AG2" s="57" t="s">
        <v>66</v>
      </c>
      <c r="AH2" s="60"/>
      <c r="AI2" s="57" t="s">
        <v>66</v>
      </c>
      <c r="AJ2" s="60"/>
      <c r="AK2" s="57" t="s">
        <v>66</v>
      </c>
      <c r="AL2" s="57"/>
      <c r="AM2" s="57" t="s">
        <v>68</v>
      </c>
      <c r="AN2" s="58"/>
      <c r="AO2" s="57" t="s">
        <v>66</v>
      </c>
      <c r="AP2" s="58"/>
      <c r="AQ2" s="58"/>
      <c r="AR2" s="58"/>
      <c r="AS2" s="58"/>
      <c r="AT2" s="58"/>
      <c r="AU2" s="50"/>
      <c r="AV2" s="50"/>
      <c r="AW2" s="50"/>
      <c r="AX2" s="50"/>
      <c r="AY2" s="50"/>
      <c r="AZ2" s="50"/>
      <c r="BA2" s="50"/>
      <c r="BB2" s="50"/>
      <c r="BC2" s="50"/>
      <c r="BD2" s="50"/>
    </row>
    <row r="3" spans="1:56">
      <c r="A3" s="54" t="s">
        <v>63</v>
      </c>
      <c r="B3" s="56"/>
      <c r="C3" s="56" t="s">
        <v>1</v>
      </c>
      <c r="D3" s="54"/>
      <c r="E3" s="56" t="s">
        <v>1</v>
      </c>
      <c r="F3" s="56"/>
      <c r="G3" s="56" t="s">
        <v>1</v>
      </c>
      <c r="H3" s="56"/>
      <c r="I3" s="56" t="s">
        <v>1</v>
      </c>
      <c r="J3" s="56"/>
      <c r="K3" s="56" t="s">
        <v>1</v>
      </c>
      <c r="L3" s="56"/>
      <c r="M3" s="56" t="s">
        <v>1</v>
      </c>
      <c r="N3" s="56"/>
      <c r="O3" s="56" t="s">
        <v>1</v>
      </c>
      <c r="P3" s="56"/>
      <c r="Q3" s="56" t="s">
        <v>1</v>
      </c>
      <c r="R3" s="56"/>
      <c r="S3" s="56" t="s">
        <v>1</v>
      </c>
      <c r="T3" s="56"/>
      <c r="U3" s="56" t="s">
        <v>1</v>
      </c>
      <c r="V3" s="56"/>
      <c r="W3" s="56" t="s">
        <v>1</v>
      </c>
      <c r="X3" s="56"/>
      <c r="Y3" s="56" t="s">
        <v>1</v>
      </c>
      <c r="Z3" s="56"/>
      <c r="AA3" s="56" t="s">
        <v>1</v>
      </c>
      <c r="AB3" s="54"/>
      <c r="AC3" s="56" t="s">
        <v>1</v>
      </c>
      <c r="AD3" s="56"/>
      <c r="AE3" s="56" t="s">
        <v>1</v>
      </c>
      <c r="AF3" s="54"/>
      <c r="AG3" s="56" t="s">
        <v>1</v>
      </c>
      <c r="AH3" s="54"/>
      <c r="AI3" s="56" t="s">
        <v>1</v>
      </c>
      <c r="AJ3" s="54"/>
      <c r="AK3" s="56" t="s">
        <v>1</v>
      </c>
      <c r="AL3" s="56"/>
      <c r="AM3" s="56" t="s">
        <v>1</v>
      </c>
      <c r="AN3" s="44"/>
      <c r="AO3" s="56" t="s">
        <v>1</v>
      </c>
      <c r="AP3" s="44"/>
      <c r="AQ3" s="44"/>
      <c r="AR3" s="44"/>
      <c r="AS3" s="44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</row>
    <row r="4" spans="1:56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 spans="1:56">
      <c r="A5" s="46">
        <v>45383</v>
      </c>
      <c r="B5" s="44"/>
      <c r="C5" s="47">
        <v>87.6</v>
      </c>
      <c r="D5" s="44"/>
      <c r="E5" s="47">
        <v>54.97</v>
      </c>
      <c r="F5" s="44"/>
      <c r="G5" s="47">
        <v>151.447</v>
      </c>
      <c r="H5" s="44"/>
      <c r="I5" s="47">
        <v>80.575299999999999</v>
      </c>
      <c r="J5" s="44"/>
      <c r="K5" s="47">
        <v>76.22</v>
      </c>
      <c r="L5" s="44"/>
      <c r="M5" s="47">
        <v>96.69</v>
      </c>
      <c r="N5" s="44"/>
      <c r="O5" s="47">
        <v>97.174000000000007</v>
      </c>
      <c r="P5" s="44"/>
      <c r="Q5" s="47">
        <v>144.23269999999999</v>
      </c>
      <c r="R5" s="44"/>
      <c r="S5" s="47">
        <v>79.011099999999999</v>
      </c>
      <c r="T5" s="44"/>
      <c r="U5" s="47">
        <v>150.03039999999999</v>
      </c>
      <c r="V5" s="44"/>
      <c r="W5" s="47">
        <v>236.08199999999999</v>
      </c>
      <c r="X5" s="44"/>
    </row>
    <row r="6" spans="1:56">
      <c r="A6" s="46">
        <v>45384</v>
      </c>
      <c r="B6" s="44"/>
      <c r="C6" s="47">
        <v>88.31</v>
      </c>
      <c r="D6" s="44"/>
      <c r="E6" s="47">
        <v>54.91</v>
      </c>
      <c r="F6" s="44"/>
      <c r="G6" s="47">
        <v>152.3349</v>
      </c>
      <c r="H6" s="44"/>
      <c r="I6" s="47">
        <v>80.590100000000007</v>
      </c>
      <c r="J6" s="44"/>
      <c r="K6" s="47">
        <v>76.83</v>
      </c>
      <c r="L6" s="44"/>
      <c r="M6" s="47">
        <v>96.48</v>
      </c>
      <c r="N6" s="44"/>
      <c r="O6" s="47">
        <v>97.052000000000007</v>
      </c>
      <c r="P6" s="44"/>
      <c r="Q6" s="47">
        <v>145.26660000000001</v>
      </c>
      <c r="R6" s="44"/>
      <c r="S6" s="47">
        <v>79.029700000000005</v>
      </c>
      <c r="T6" s="44"/>
      <c r="U6" s="47">
        <v>151.4008</v>
      </c>
      <c r="V6" s="44"/>
      <c r="W6" s="47">
        <v>238.6036</v>
      </c>
      <c r="X6" s="44"/>
    </row>
    <row r="7" spans="1:56">
      <c r="A7" s="46">
        <v>45385</v>
      </c>
      <c r="B7" s="44"/>
      <c r="C7" s="47">
        <v>88.81</v>
      </c>
      <c r="D7" s="44"/>
      <c r="E7" s="47">
        <v>54.83</v>
      </c>
      <c r="F7" s="44"/>
      <c r="G7" s="47">
        <v>153.53790000000001</v>
      </c>
      <c r="H7" s="44"/>
      <c r="I7" s="47">
        <v>80.423400000000001</v>
      </c>
      <c r="J7" s="44"/>
      <c r="K7" s="47">
        <v>77.510000000000005</v>
      </c>
      <c r="L7" s="44"/>
      <c r="M7" s="47">
        <v>96.37</v>
      </c>
      <c r="N7" s="44"/>
      <c r="O7" s="47">
        <v>97.164000000000001</v>
      </c>
      <c r="P7" s="44"/>
      <c r="Q7" s="47">
        <v>146.16</v>
      </c>
      <c r="R7" s="44"/>
      <c r="S7" s="47">
        <v>79.201899999999995</v>
      </c>
      <c r="T7" s="44"/>
      <c r="U7" s="47">
        <v>152.7398</v>
      </c>
      <c r="V7" s="44"/>
      <c r="W7" s="47">
        <v>240.77539999999999</v>
      </c>
      <c r="X7" s="44"/>
    </row>
    <row r="8" spans="1:56">
      <c r="A8" s="46">
        <v>45386</v>
      </c>
      <c r="B8" s="44"/>
      <c r="C8" s="47">
        <v>89.22</v>
      </c>
      <c r="D8" s="44"/>
      <c r="E8" s="47">
        <v>55.15</v>
      </c>
      <c r="F8" s="44"/>
      <c r="G8" s="47">
        <v>154.3682</v>
      </c>
      <c r="H8" s="44"/>
      <c r="I8" s="47">
        <v>80.6113</v>
      </c>
      <c r="J8" s="44"/>
      <c r="K8" s="47">
        <v>77.760000000000005</v>
      </c>
      <c r="L8" s="44"/>
      <c r="M8" s="47">
        <v>96.37</v>
      </c>
      <c r="N8" s="44"/>
      <c r="O8" s="47">
        <v>97.39</v>
      </c>
      <c r="P8" s="44"/>
      <c r="Q8" s="47">
        <v>146.60169999999999</v>
      </c>
      <c r="R8" s="44"/>
      <c r="S8" s="47">
        <v>79.404499999999999</v>
      </c>
      <c r="T8" s="44"/>
      <c r="U8" s="47">
        <v>153.53299999999999</v>
      </c>
      <c r="V8" s="44"/>
      <c r="W8" s="47">
        <v>241.6104</v>
      </c>
      <c r="X8" s="44"/>
    </row>
    <row r="9" spans="1:56">
      <c r="A9" s="46">
        <v>45387</v>
      </c>
      <c r="B9" s="44"/>
      <c r="C9" s="47">
        <v>89.27</v>
      </c>
      <c r="D9" s="44"/>
      <c r="E9" s="47">
        <v>55.11</v>
      </c>
      <c r="F9" s="44"/>
      <c r="G9" s="47">
        <v>154.9984</v>
      </c>
      <c r="H9" s="44"/>
      <c r="I9" s="47">
        <v>80.693600000000004</v>
      </c>
      <c r="J9" s="44"/>
      <c r="K9" s="47">
        <v>78.05</v>
      </c>
      <c r="L9" s="44"/>
      <c r="M9" s="47">
        <v>96.22</v>
      </c>
      <c r="N9" s="44"/>
      <c r="O9" s="47">
        <v>97.588999999999999</v>
      </c>
      <c r="P9" s="44"/>
      <c r="Q9" s="47">
        <v>147.0745</v>
      </c>
      <c r="R9" s="44"/>
      <c r="S9" s="47">
        <v>79.657300000000006</v>
      </c>
      <c r="T9" s="44"/>
      <c r="U9" s="47">
        <v>153.91589999999999</v>
      </c>
      <c r="V9" s="44"/>
      <c r="W9" s="47">
        <v>243.87549999999999</v>
      </c>
      <c r="X9" s="44"/>
    </row>
    <row r="10" spans="1:56">
      <c r="A10" s="46">
        <v>45388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</row>
    <row r="11" spans="1:56">
      <c r="A11" s="46">
        <v>45389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</row>
    <row r="12" spans="1:56">
      <c r="A12" s="46">
        <v>45390</v>
      </c>
      <c r="B12" s="44"/>
      <c r="C12" s="48">
        <v>89.26</v>
      </c>
      <c r="D12" s="44"/>
      <c r="E12" s="48">
        <v>55.51</v>
      </c>
      <c r="F12" s="44"/>
      <c r="G12" s="48">
        <v>155.1729</v>
      </c>
      <c r="H12" s="44"/>
      <c r="I12" s="48">
        <v>81.2149</v>
      </c>
      <c r="J12" s="44"/>
      <c r="K12" s="48">
        <v>78.010000000000005</v>
      </c>
      <c r="L12" s="44"/>
      <c r="M12" s="48">
        <v>97.09</v>
      </c>
      <c r="N12" s="44"/>
      <c r="O12" s="48">
        <v>98.302999999999997</v>
      </c>
      <c r="P12" s="44"/>
      <c r="Q12" s="48">
        <v>147.41399999999999</v>
      </c>
      <c r="R12" s="44"/>
      <c r="S12" s="48">
        <v>80.155299999999997</v>
      </c>
      <c r="T12" s="44"/>
      <c r="U12" s="48">
        <v>154.31299999999999</v>
      </c>
      <c r="V12" s="44"/>
      <c r="W12" s="48">
        <v>244.2302</v>
      </c>
      <c r="X12" s="44"/>
    </row>
    <row r="13" spans="1:56">
      <c r="A13" s="46">
        <v>45391</v>
      </c>
      <c r="B13" s="44"/>
      <c r="C13" s="47">
        <v>89.05</v>
      </c>
      <c r="D13" s="44"/>
      <c r="E13" s="47">
        <v>55.51</v>
      </c>
      <c r="F13" s="44"/>
      <c r="G13" s="47">
        <v>154.94040000000001</v>
      </c>
      <c r="H13" s="44"/>
      <c r="I13" s="47">
        <v>81.266300000000001</v>
      </c>
      <c r="J13" s="44"/>
      <c r="K13" s="47">
        <v>77.790000000000006</v>
      </c>
      <c r="L13" s="44"/>
      <c r="M13" s="47">
        <v>96.99</v>
      </c>
      <c r="N13" s="44"/>
      <c r="O13" s="47">
        <v>98.269000000000005</v>
      </c>
      <c r="P13" s="44"/>
      <c r="Q13" s="47">
        <v>147.0104</v>
      </c>
      <c r="R13" s="44"/>
      <c r="S13" s="47">
        <v>80.098200000000006</v>
      </c>
      <c r="T13" s="44"/>
      <c r="U13" s="47">
        <v>154.36930000000001</v>
      </c>
      <c r="V13" s="44"/>
      <c r="W13" s="47">
        <v>245.25819999999999</v>
      </c>
      <c r="X13" s="44"/>
    </row>
    <row r="14" spans="1:56">
      <c r="A14" s="46">
        <v>45392</v>
      </c>
      <c r="B14" s="44"/>
      <c r="C14" s="47">
        <v>89.7</v>
      </c>
      <c r="D14" s="44"/>
      <c r="E14" s="47">
        <v>55.74</v>
      </c>
      <c r="F14" s="44"/>
      <c r="G14" s="47">
        <v>156.363</v>
      </c>
      <c r="H14" s="44"/>
      <c r="I14" s="47">
        <v>81.533900000000003</v>
      </c>
      <c r="J14" s="44"/>
      <c r="K14" s="47">
        <v>78.209999999999994</v>
      </c>
      <c r="L14" s="44"/>
      <c r="M14" s="47">
        <v>97.47</v>
      </c>
      <c r="N14" s="44"/>
      <c r="O14" s="47">
        <v>98.81</v>
      </c>
      <c r="P14" s="44"/>
      <c r="Q14" s="47">
        <v>147.93010000000001</v>
      </c>
      <c r="R14" s="44"/>
      <c r="S14" s="47">
        <v>80.357200000000006</v>
      </c>
      <c r="T14" s="44"/>
      <c r="U14" s="47">
        <v>155.32220000000001</v>
      </c>
      <c r="V14" s="44"/>
      <c r="W14" s="47">
        <v>246.77269999999999</v>
      </c>
      <c r="X14" s="44"/>
    </row>
    <row r="15" spans="1:56">
      <c r="A15" s="46">
        <v>45393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</row>
    <row r="16" spans="1:56">
      <c r="A16" s="46">
        <v>45394</v>
      </c>
      <c r="B16" s="44"/>
      <c r="C16" s="47">
        <v>89.15</v>
      </c>
      <c r="D16" s="44"/>
      <c r="E16" s="47">
        <v>55.31</v>
      </c>
      <c r="F16" s="44"/>
      <c r="G16" s="47">
        <v>155.36920000000001</v>
      </c>
      <c r="H16" s="44"/>
      <c r="I16" s="47">
        <v>80.890199999999993</v>
      </c>
      <c r="J16" s="44"/>
      <c r="K16" s="47">
        <v>77.790000000000006</v>
      </c>
      <c r="L16" s="44"/>
      <c r="M16" s="47">
        <v>96.45</v>
      </c>
      <c r="N16" s="44"/>
      <c r="O16" s="47">
        <v>97.971999999999994</v>
      </c>
      <c r="P16" s="44"/>
      <c r="Q16" s="47">
        <v>147.2647</v>
      </c>
      <c r="R16" s="44"/>
      <c r="S16" s="47">
        <v>79.651899999999998</v>
      </c>
      <c r="T16" s="44"/>
      <c r="U16" s="47">
        <v>155.1037</v>
      </c>
      <c r="V16" s="44"/>
      <c r="W16" s="47">
        <v>245.57230000000001</v>
      </c>
      <c r="X16" s="44"/>
    </row>
    <row r="17" spans="1:24">
      <c r="A17" s="46">
        <v>45395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</row>
    <row r="18" spans="1:24">
      <c r="A18" s="46">
        <v>45396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</row>
    <row r="19" spans="1:24">
      <c r="A19" s="46">
        <v>45397</v>
      </c>
      <c r="B19" s="44"/>
      <c r="C19" s="47">
        <v>88.12</v>
      </c>
      <c r="D19" s="44"/>
      <c r="E19" s="47">
        <v>54.52</v>
      </c>
      <c r="F19" s="44"/>
      <c r="G19" s="47">
        <v>153.8999</v>
      </c>
      <c r="H19" s="44"/>
      <c r="I19" s="47">
        <v>79.960999999999999</v>
      </c>
      <c r="J19" s="44"/>
      <c r="K19" s="47">
        <v>76.92</v>
      </c>
      <c r="L19" s="44"/>
      <c r="M19" s="47">
        <v>95.54</v>
      </c>
      <c r="N19" s="44"/>
      <c r="O19" s="47">
        <v>96.715999999999994</v>
      </c>
      <c r="P19" s="44"/>
      <c r="Q19" s="47">
        <v>145.4838</v>
      </c>
      <c r="R19" s="44"/>
      <c r="S19" s="47">
        <v>78.613200000000006</v>
      </c>
      <c r="T19" s="44"/>
      <c r="U19" s="47">
        <v>153.7621</v>
      </c>
      <c r="V19" s="44"/>
      <c r="W19" s="47">
        <v>242.1028</v>
      </c>
      <c r="X19" s="44"/>
    </row>
    <row r="20" spans="1:24">
      <c r="A20" s="46">
        <v>45398</v>
      </c>
      <c r="B20" s="44"/>
      <c r="C20" s="47">
        <v>88.29</v>
      </c>
      <c r="D20" s="44"/>
      <c r="E20" s="47">
        <v>54.14</v>
      </c>
      <c r="F20" s="44"/>
      <c r="G20" s="47">
        <v>154.32589999999999</v>
      </c>
      <c r="H20" s="44"/>
      <c r="I20" s="47">
        <v>79.697599999999994</v>
      </c>
      <c r="J20" s="44"/>
      <c r="K20" s="47">
        <v>77.08</v>
      </c>
      <c r="L20" s="44"/>
      <c r="M20" s="47">
        <v>95.12</v>
      </c>
      <c r="N20" s="44"/>
      <c r="O20" s="47">
        <v>96.292000000000002</v>
      </c>
      <c r="P20" s="44"/>
      <c r="Q20" s="47">
        <v>146.07259999999999</v>
      </c>
      <c r="R20" s="44"/>
      <c r="S20" s="47">
        <v>78.384699999999995</v>
      </c>
      <c r="T20" s="44"/>
      <c r="U20" s="47">
        <v>154.6943</v>
      </c>
      <c r="V20" s="44"/>
      <c r="W20" s="47">
        <v>242.7028</v>
      </c>
      <c r="X20" s="44"/>
    </row>
    <row r="21" spans="1:24">
      <c r="A21" s="46">
        <v>45399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</row>
    <row r="22" spans="1:24">
      <c r="A22" s="46">
        <v>45400</v>
      </c>
      <c r="B22" s="44"/>
      <c r="C22" s="47">
        <v>88.13</v>
      </c>
      <c r="D22" s="44"/>
      <c r="E22" s="47">
        <v>53.84</v>
      </c>
      <c r="F22" s="44"/>
      <c r="G22" s="47">
        <v>154.41040000000001</v>
      </c>
      <c r="H22" s="44"/>
      <c r="I22" s="47">
        <v>79.417199999999994</v>
      </c>
      <c r="J22" s="44"/>
      <c r="K22" s="47">
        <v>77.11</v>
      </c>
      <c r="L22" s="44"/>
      <c r="M22" s="47">
        <v>94.68</v>
      </c>
      <c r="N22" s="44"/>
      <c r="O22" s="47">
        <v>95.905000000000001</v>
      </c>
      <c r="P22" s="44"/>
      <c r="Q22" s="47">
        <v>146.21870000000001</v>
      </c>
      <c r="R22" s="44"/>
      <c r="S22" s="47">
        <v>77.900599999999997</v>
      </c>
      <c r="T22" s="44"/>
      <c r="U22" s="47">
        <v>154.94810000000001</v>
      </c>
      <c r="V22" s="44"/>
      <c r="W22" s="47">
        <v>243.46430000000001</v>
      </c>
      <c r="X22" s="44"/>
    </row>
    <row r="23" spans="1:24">
      <c r="A23" s="46">
        <v>45401</v>
      </c>
      <c r="B23" s="44"/>
      <c r="C23" s="47">
        <v>88.01</v>
      </c>
      <c r="D23" s="44"/>
      <c r="E23" s="47">
        <v>54.15</v>
      </c>
      <c r="F23" s="44"/>
      <c r="G23" s="47">
        <v>155.19990000000001</v>
      </c>
      <c r="H23" s="44"/>
      <c r="I23" s="47">
        <v>79.792900000000003</v>
      </c>
      <c r="J23" s="44"/>
      <c r="K23" s="47">
        <v>77.08</v>
      </c>
      <c r="L23" s="44"/>
      <c r="M23" s="47">
        <v>94.87</v>
      </c>
      <c r="N23" s="44"/>
      <c r="O23" s="47">
        <v>96.492000000000004</v>
      </c>
      <c r="P23" s="44"/>
      <c r="Q23" s="47">
        <v>146.42959999999999</v>
      </c>
      <c r="R23" s="44"/>
      <c r="S23" s="47">
        <v>78.460400000000007</v>
      </c>
      <c r="T23" s="44"/>
      <c r="U23" s="47">
        <v>154.36940000000001</v>
      </c>
      <c r="V23" s="44"/>
      <c r="W23" s="47">
        <v>243.59100000000001</v>
      </c>
      <c r="X23" s="44"/>
    </row>
    <row r="24" spans="1:24">
      <c r="A24" s="46">
        <v>45402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</row>
    <row r="25" spans="1:24">
      <c r="A25" s="46">
        <v>45403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</row>
    <row r="26" spans="1:24">
      <c r="A26" s="46">
        <v>45404</v>
      </c>
      <c r="B26" s="44"/>
      <c r="C26" s="48">
        <v>88.46</v>
      </c>
      <c r="D26" s="44"/>
      <c r="E26" s="48">
        <v>54.74</v>
      </c>
      <c r="F26" s="44"/>
      <c r="G26" s="48">
        <v>156.61420000000001</v>
      </c>
      <c r="H26" s="44"/>
      <c r="I26" s="48">
        <v>80.3626</v>
      </c>
      <c r="J26" s="44"/>
      <c r="K26" s="48">
        <v>77.55</v>
      </c>
      <c r="L26" s="44"/>
      <c r="M26" s="48">
        <v>95.89</v>
      </c>
      <c r="N26" s="44"/>
      <c r="O26" s="47">
        <v>97.405000000000001</v>
      </c>
      <c r="P26" s="44"/>
      <c r="Q26" s="48">
        <v>148.6977</v>
      </c>
      <c r="R26" s="44"/>
      <c r="S26" s="47">
        <v>79.217100000000002</v>
      </c>
      <c r="T26" s="44"/>
      <c r="U26" s="47">
        <v>155.54949999999999</v>
      </c>
      <c r="V26" s="44"/>
      <c r="W26" s="47">
        <v>246.0378</v>
      </c>
      <c r="X26" s="44"/>
    </row>
    <row r="27" spans="1:24">
      <c r="A27" s="46">
        <v>45405</v>
      </c>
      <c r="B27" s="44"/>
      <c r="C27" s="47">
        <v>89.4</v>
      </c>
      <c r="D27" s="44"/>
      <c r="E27" s="47">
        <v>54.79</v>
      </c>
      <c r="F27" s="44"/>
      <c r="G27" s="47">
        <v>157.4494</v>
      </c>
      <c r="H27" s="44"/>
      <c r="I27" s="47">
        <v>80.590500000000006</v>
      </c>
      <c r="J27" s="44"/>
      <c r="K27" s="47">
        <v>77.959999999999994</v>
      </c>
      <c r="L27" s="44"/>
      <c r="M27" s="47">
        <v>96.09</v>
      </c>
      <c r="N27" s="44"/>
      <c r="O27" s="47">
        <v>97.787000000000006</v>
      </c>
      <c r="P27" s="44"/>
      <c r="Q27" s="47">
        <v>149.97810000000001</v>
      </c>
      <c r="R27" s="44"/>
      <c r="S27" s="47">
        <v>79.351299999999995</v>
      </c>
      <c r="T27" s="44"/>
      <c r="U27" s="47">
        <v>156.7698</v>
      </c>
      <c r="V27" s="44"/>
      <c r="W27" s="47">
        <v>247.6619</v>
      </c>
      <c r="X27" s="44"/>
    </row>
    <row r="28" spans="1:24">
      <c r="A28" s="46">
        <v>45406</v>
      </c>
      <c r="B28" s="44"/>
      <c r="C28" s="47">
        <v>90.1</v>
      </c>
      <c r="D28" s="44"/>
      <c r="E28" s="47">
        <v>54.9</v>
      </c>
      <c r="F28" s="44"/>
      <c r="G28" s="47">
        <v>158.6155</v>
      </c>
      <c r="H28" s="44"/>
      <c r="I28" s="47">
        <v>80.896699999999996</v>
      </c>
      <c r="J28" s="44"/>
      <c r="K28" s="47">
        <v>78.47</v>
      </c>
      <c r="L28" s="44"/>
      <c r="M28" s="47">
        <v>96.37</v>
      </c>
      <c r="N28" s="44"/>
      <c r="O28" s="47">
        <v>98.036000000000001</v>
      </c>
      <c r="P28" s="44"/>
      <c r="Q28" s="47">
        <v>150.85579999999999</v>
      </c>
      <c r="R28" s="44"/>
      <c r="S28" s="47">
        <v>79.499099999999999</v>
      </c>
      <c r="T28" s="44"/>
      <c r="U28" s="47">
        <v>157.71469999999999</v>
      </c>
      <c r="V28" s="44"/>
      <c r="W28" s="47">
        <v>248.88120000000001</v>
      </c>
      <c r="X28" s="44"/>
    </row>
    <row r="29" spans="1:24">
      <c r="A29" s="46">
        <v>45407</v>
      </c>
      <c r="B29" s="44"/>
      <c r="C29" s="47">
        <v>90.73</v>
      </c>
      <c r="D29" s="44"/>
      <c r="E29" s="47">
        <v>54.98</v>
      </c>
      <c r="F29" s="44"/>
      <c r="G29" s="47">
        <v>159.40809999999999</v>
      </c>
      <c r="H29" s="44"/>
      <c r="I29" s="47">
        <v>80.875500000000002</v>
      </c>
      <c r="J29" s="44"/>
      <c r="K29" s="47">
        <v>78.739999999999995</v>
      </c>
      <c r="L29" s="44"/>
      <c r="M29" s="47">
        <v>97.14</v>
      </c>
      <c r="N29" s="44"/>
      <c r="O29" s="47">
        <v>98.536000000000001</v>
      </c>
      <c r="P29" s="44"/>
      <c r="Q29" s="47">
        <v>152.2396</v>
      </c>
      <c r="R29" s="44"/>
      <c r="S29" s="47">
        <v>80.296099999999996</v>
      </c>
      <c r="T29" s="44"/>
      <c r="U29" s="47">
        <v>159.23070000000001</v>
      </c>
      <c r="V29" s="44"/>
      <c r="W29" s="47">
        <v>250.04490000000001</v>
      </c>
      <c r="X29" s="44"/>
    </row>
    <row r="30" spans="1:24">
      <c r="A30" s="46">
        <v>45408</v>
      </c>
      <c r="B30" s="44"/>
      <c r="C30" s="47">
        <v>90.77</v>
      </c>
      <c r="D30" s="44"/>
      <c r="E30" s="47">
        <v>54.45</v>
      </c>
      <c r="F30" s="44"/>
      <c r="G30" s="47">
        <v>159.3956</v>
      </c>
      <c r="H30" s="44"/>
      <c r="I30" s="47">
        <v>80.415099999999995</v>
      </c>
      <c r="J30" s="44"/>
      <c r="K30" s="47">
        <v>78.87</v>
      </c>
      <c r="L30" s="44"/>
      <c r="M30" s="47">
        <v>96.98</v>
      </c>
      <c r="N30" s="44"/>
      <c r="O30" s="47">
        <v>98.08</v>
      </c>
      <c r="P30" s="44"/>
      <c r="Q30" s="47">
        <v>153.0103</v>
      </c>
      <c r="R30" s="44"/>
      <c r="S30" s="47">
        <v>79.889399999999995</v>
      </c>
      <c r="T30" s="44"/>
      <c r="U30" s="47">
        <v>160.02770000000001</v>
      </c>
      <c r="V30" s="44"/>
      <c r="W30" s="47">
        <v>251.25370000000001</v>
      </c>
      <c r="X30" s="44"/>
    </row>
    <row r="31" spans="1:24">
      <c r="A31" s="46">
        <v>45409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 spans="1:24">
      <c r="A32" s="46">
        <v>45410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 spans="1:24">
      <c r="A33" s="46">
        <v>45411</v>
      </c>
      <c r="B33" s="44"/>
      <c r="C33" s="47">
        <v>90.56</v>
      </c>
      <c r="D33" s="44"/>
      <c r="E33" s="47">
        <v>54.92</v>
      </c>
      <c r="F33" s="44"/>
      <c r="G33" s="47">
        <v>159.93819999999999</v>
      </c>
      <c r="H33" s="44"/>
      <c r="I33" s="47">
        <v>81.052499999999995</v>
      </c>
      <c r="J33" s="44"/>
      <c r="K33" s="47">
        <v>78.98</v>
      </c>
      <c r="L33" s="44"/>
      <c r="M33" s="47">
        <v>97.82</v>
      </c>
      <c r="N33" s="44"/>
      <c r="O33" s="47">
        <v>98.906999999999996</v>
      </c>
      <c r="P33" s="44"/>
      <c r="Q33" s="47">
        <v>153.63030000000001</v>
      </c>
      <c r="R33" s="44"/>
      <c r="S33" s="47">
        <v>80.714799999999997</v>
      </c>
      <c r="T33" s="44"/>
      <c r="U33" s="47">
        <v>160.5925</v>
      </c>
      <c r="V33" s="44"/>
      <c r="W33" s="47">
        <v>252.38329999999999</v>
      </c>
      <c r="X33" s="44"/>
    </row>
    <row r="34" spans="1:24">
      <c r="A34" s="46">
        <v>45412</v>
      </c>
      <c r="B34" s="44"/>
      <c r="C34" s="47">
        <v>90.95</v>
      </c>
      <c r="D34" s="44"/>
      <c r="E34" s="47">
        <v>55.03</v>
      </c>
      <c r="F34" s="44"/>
      <c r="G34" s="47">
        <v>160.2713</v>
      </c>
      <c r="H34" s="44"/>
      <c r="I34" s="47">
        <v>81.108400000000003</v>
      </c>
      <c r="J34" s="44"/>
      <c r="K34" s="47">
        <v>79.44</v>
      </c>
      <c r="L34" s="44"/>
      <c r="M34" s="47">
        <v>97.79</v>
      </c>
      <c r="N34" s="44"/>
      <c r="O34" s="47">
        <v>98.715999999999994</v>
      </c>
      <c r="P34" s="44"/>
      <c r="Q34" s="47">
        <v>154.30080000000001</v>
      </c>
      <c r="R34" s="44"/>
      <c r="S34" s="47">
        <v>80.721500000000006</v>
      </c>
      <c r="T34" s="44"/>
      <c r="U34" s="47">
        <v>161.10589999999999</v>
      </c>
      <c r="V34" s="44"/>
      <c r="W34" s="47">
        <v>252.46799999999999</v>
      </c>
      <c r="X34" s="44"/>
    </row>
    <row r="35" spans="1:24">
      <c r="A35" s="46">
        <v>45413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 spans="1:24">
      <c r="A36" s="46">
        <v>45414</v>
      </c>
      <c r="B36" s="44"/>
      <c r="C36" s="47">
        <v>90.92</v>
      </c>
      <c r="D36" s="44"/>
      <c r="E36" s="47">
        <v>55.25</v>
      </c>
      <c r="F36" s="44"/>
      <c r="G36" s="47">
        <v>160.6105</v>
      </c>
      <c r="H36" s="44"/>
      <c r="I36" s="47">
        <v>81.226399999999998</v>
      </c>
      <c r="J36" s="44"/>
      <c r="K36" s="47">
        <v>79.63</v>
      </c>
      <c r="L36" s="44"/>
      <c r="M36" s="47">
        <v>98.01</v>
      </c>
      <c r="N36" s="44"/>
      <c r="O36" s="47">
        <v>98.722999999999999</v>
      </c>
      <c r="P36" s="44"/>
      <c r="Q36" s="47">
        <v>154.96449999999999</v>
      </c>
      <c r="R36" s="44"/>
      <c r="S36" s="47">
        <v>80.927800000000005</v>
      </c>
      <c r="T36" s="44"/>
      <c r="U36" s="47">
        <v>161.53219999999999</v>
      </c>
      <c r="V36" s="44"/>
      <c r="W36" s="47">
        <v>252.6756</v>
      </c>
      <c r="X36" s="44"/>
    </row>
    <row r="37" spans="1:24">
      <c r="A37" s="46">
        <v>45415</v>
      </c>
      <c r="B37" s="44"/>
      <c r="C37" s="47">
        <v>90.39</v>
      </c>
      <c r="D37" s="44"/>
      <c r="E37" s="47">
        <v>54.9</v>
      </c>
      <c r="F37" s="44"/>
      <c r="G37" s="47">
        <v>159.5067</v>
      </c>
      <c r="H37" s="44"/>
      <c r="I37" s="47">
        <v>80.894199999999998</v>
      </c>
      <c r="J37" s="44"/>
      <c r="K37" s="47">
        <v>79.42</v>
      </c>
      <c r="L37" s="44"/>
      <c r="M37" s="47">
        <v>97.24</v>
      </c>
      <c r="N37" s="44"/>
      <c r="O37" s="47">
        <v>97.991</v>
      </c>
      <c r="P37" s="44"/>
      <c r="Q37" s="47">
        <v>154.08789999999999</v>
      </c>
      <c r="R37" s="44"/>
      <c r="S37" s="47">
        <v>80.395300000000006</v>
      </c>
      <c r="T37" s="44"/>
      <c r="U37" s="47">
        <v>160.70140000000001</v>
      </c>
      <c r="V37" s="44"/>
      <c r="W37" s="47">
        <v>250.88839999999999</v>
      </c>
      <c r="X37" s="44"/>
    </row>
    <row r="38" spans="1:24">
      <c r="A38" s="46">
        <v>45416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</row>
    <row r="39" spans="1:24">
      <c r="A39" s="46">
        <v>45417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</row>
    <row r="40" spans="1:24">
      <c r="A40" s="46">
        <v>45418</v>
      </c>
      <c r="B40" s="44"/>
      <c r="C40" s="47">
        <v>90.18</v>
      </c>
      <c r="D40" s="44"/>
      <c r="E40" s="47">
        <v>54.83</v>
      </c>
      <c r="F40" s="44"/>
      <c r="G40" s="47">
        <v>158.8203</v>
      </c>
      <c r="H40" s="44"/>
      <c r="I40" s="47">
        <v>81.252899999999997</v>
      </c>
      <c r="J40" s="44"/>
      <c r="K40" s="47">
        <v>79.22</v>
      </c>
      <c r="L40" s="44"/>
      <c r="M40" s="47">
        <v>96.98</v>
      </c>
      <c r="N40" s="44"/>
      <c r="O40" s="47">
        <v>97.888000000000005</v>
      </c>
      <c r="P40" s="44"/>
      <c r="Q40" s="47">
        <v>152.6317</v>
      </c>
      <c r="R40" s="44"/>
      <c r="S40" s="47">
        <v>80.020499999999998</v>
      </c>
      <c r="T40" s="44"/>
      <c r="U40" s="47">
        <v>160.48429999999999</v>
      </c>
      <c r="V40" s="44"/>
      <c r="W40" s="47">
        <v>246.90530000000001</v>
      </c>
      <c r="X40" s="44"/>
    </row>
    <row r="41" spans="1:24">
      <c r="A41" s="46">
        <v>45419</v>
      </c>
      <c r="B41" s="44"/>
      <c r="C41" s="47">
        <v>89.15</v>
      </c>
      <c r="D41" s="44"/>
      <c r="E41" s="47">
        <v>54.44</v>
      </c>
      <c r="F41" s="44"/>
      <c r="G41" s="47">
        <v>157.4357</v>
      </c>
      <c r="H41" s="44"/>
      <c r="I41" s="47">
        <v>80.853300000000004</v>
      </c>
      <c r="J41" s="44"/>
      <c r="K41" s="47">
        <v>78.59</v>
      </c>
      <c r="L41" s="44"/>
      <c r="M41" s="47">
        <v>96.11</v>
      </c>
      <c r="N41" s="44"/>
      <c r="O41" s="47">
        <v>97.35</v>
      </c>
      <c r="P41" s="44"/>
      <c r="Q41" s="47">
        <v>150.71619999999999</v>
      </c>
      <c r="R41" s="44"/>
      <c r="S41" s="47">
        <v>79.497200000000007</v>
      </c>
      <c r="T41" s="44"/>
      <c r="U41" s="47">
        <v>158.3828</v>
      </c>
      <c r="V41" s="44"/>
      <c r="W41" s="47">
        <v>242.99619999999999</v>
      </c>
      <c r="X41" s="44"/>
    </row>
    <row r="42" spans="1:24">
      <c r="A42" s="46">
        <v>45420</v>
      </c>
      <c r="B42" s="44"/>
      <c r="C42" s="47">
        <v>89.37</v>
      </c>
      <c r="D42" s="44"/>
      <c r="E42" s="47">
        <v>54.59</v>
      </c>
      <c r="F42" s="44"/>
      <c r="G42" s="47">
        <v>158.16309999999999</v>
      </c>
      <c r="H42" s="44"/>
      <c r="I42" s="47">
        <v>80.898600000000002</v>
      </c>
      <c r="J42" s="44"/>
      <c r="K42" s="47">
        <v>79.069999999999993</v>
      </c>
      <c r="L42" s="44"/>
      <c r="M42" s="47">
        <v>96.58</v>
      </c>
      <c r="N42" s="44"/>
      <c r="O42" s="47">
        <v>97.340999999999994</v>
      </c>
      <c r="P42" s="44"/>
      <c r="Q42" s="47">
        <v>151.67009999999999</v>
      </c>
      <c r="R42" s="44"/>
      <c r="S42" s="47">
        <v>79.629300000000001</v>
      </c>
      <c r="T42" s="44"/>
      <c r="U42" s="47">
        <v>159.3186</v>
      </c>
      <c r="V42" s="44"/>
      <c r="W42" s="47">
        <v>244.70689999999999</v>
      </c>
      <c r="X42" s="44"/>
    </row>
    <row r="43" spans="1:24">
      <c r="A43" s="46">
        <v>45421</v>
      </c>
      <c r="B43" s="44"/>
      <c r="C43" s="47">
        <v>88.04</v>
      </c>
      <c r="D43" s="44"/>
      <c r="E43" s="47">
        <v>53.95</v>
      </c>
      <c r="F43" s="44"/>
      <c r="G43" s="47">
        <v>154.5325</v>
      </c>
      <c r="H43" s="44"/>
      <c r="I43" s="47">
        <v>79.7166</v>
      </c>
      <c r="J43" s="44"/>
      <c r="K43" s="47">
        <v>77.819999999999993</v>
      </c>
      <c r="L43" s="44"/>
      <c r="M43" s="47">
        <v>95.17</v>
      </c>
      <c r="N43" s="44"/>
      <c r="O43" s="47">
        <v>96.027000000000001</v>
      </c>
      <c r="P43" s="44"/>
      <c r="Q43" s="47">
        <v>148.39510000000001</v>
      </c>
      <c r="R43" s="44"/>
      <c r="S43" s="47">
        <v>78.2239</v>
      </c>
      <c r="T43" s="44"/>
      <c r="U43" s="47">
        <v>156.131</v>
      </c>
      <c r="V43" s="44"/>
      <c r="W43" s="47">
        <v>239.1849</v>
      </c>
      <c r="X43" s="44"/>
    </row>
    <row r="44" spans="1:24">
      <c r="A44" s="46">
        <v>45422</v>
      </c>
      <c r="B44" s="44"/>
      <c r="C44" s="47">
        <v>88.43</v>
      </c>
      <c r="D44" s="44"/>
      <c r="E44" s="47">
        <v>54.28</v>
      </c>
      <c r="F44" s="44"/>
      <c r="G44" s="47">
        <v>155.2362</v>
      </c>
      <c r="H44" s="44"/>
      <c r="I44" s="47">
        <v>80.149299999999997</v>
      </c>
      <c r="J44" s="44"/>
      <c r="K44" s="47">
        <v>78</v>
      </c>
      <c r="L44" s="44"/>
      <c r="M44" s="47">
        <v>95.85</v>
      </c>
      <c r="N44" s="44"/>
      <c r="O44" s="47">
        <v>96.528000000000006</v>
      </c>
      <c r="P44" s="44"/>
      <c r="Q44" s="47">
        <v>149.4332</v>
      </c>
      <c r="R44" s="44"/>
      <c r="S44" s="47">
        <v>78.796800000000005</v>
      </c>
      <c r="T44" s="44"/>
      <c r="U44" s="47">
        <v>156.631</v>
      </c>
      <c r="V44" s="44"/>
      <c r="W44" s="47">
        <v>240.97839999999999</v>
      </c>
      <c r="X44" s="44"/>
    </row>
    <row r="45" spans="1:24">
      <c r="A45" s="46">
        <v>45423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</row>
    <row r="46" spans="1:24">
      <c r="A46" s="46">
        <v>45424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</row>
    <row r="47" spans="1:24">
      <c r="A47" s="46">
        <v>45425</v>
      </c>
      <c r="B47" s="44"/>
      <c r="C47" s="47">
        <v>88.3</v>
      </c>
      <c r="D47" s="44"/>
      <c r="E47" s="47">
        <v>54.3</v>
      </c>
      <c r="F47" s="44"/>
      <c r="G47" s="47">
        <v>155.2467</v>
      </c>
      <c r="H47" s="44"/>
      <c r="I47" s="47">
        <v>80.540199999999999</v>
      </c>
      <c r="J47" s="44"/>
      <c r="K47" s="47">
        <v>78.06</v>
      </c>
      <c r="L47" s="44"/>
      <c r="M47" s="47">
        <v>96.09</v>
      </c>
      <c r="N47" s="44"/>
      <c r="O47" s="47">
        <v>96.67</v>
      </c>
      <c r="P47" s="44"/>
      <c r="Q47" s="47">
        <v>149.5538</v>
      </c>
      <c r="R47" s="44"/>
      <c r="S47" s="47">
        <v>78.958600000000004</v>
      </c>
      <c r="T47" s="44"/>
      <c r="U47" s="47">
        <v>155.8152</v>
      </c>
      <c r="V47" s="44"/>
      <c r="W47" s="47">
        <v>240.46430000000001</v>
      </c>
      <c r="X47" s="44"/>
    </row>
    <row r="48" spans="1:24">
      <c r="A48" s="46">
        <v>45426</v>
      </c>
      <c r="B48" s="44"/>
      <c r="C48" s="47">
        <v>89.25</v>
      </c>
      <c r="D48" s="44"/>
      <c r="E48" s="47">
        <v>54.43</v>
      </c>
      <c r="F48" s="44"/>
      <c r="G48" s="47">
        <v>156.97409999999999</v>
      </c>
      <c r="H48" s="44"/>
      <c r="I48" s="47">
        <v>80.913200000000003</v>
      </c>
      <c r="J48" s="44"/>
      <c r="K48" s="47">
        <v>78.78</v>
      </c>
      <c r="L48" s="44"/>
      <c r="M48" s="47">
        <v>96.64</v>
      </c>
      <c r="N48" s="44"/>
      <c r="O48" s="47">
        <v>97.194000000000003</v>
      </c>
      <c r="P48" s="44"/>
      <c r="Q48" s="47">
        <v>151.8998</v>
      </c>
      <c r="R48" s="44"/>
      <c r="S48" s="47">
        <v>79.3673</v>
      </c>
      <c r="T48" s="44"/>
      <c r="U48" s="47">
        <v>158.13759999999999</v>
      </c>
      <c r="V48" s="44"/>
      <c r="W48" s="47">
        <v>245.12780000000001</v>
      </c>
      <c r="X48" s="44"/>
    </row>
    <row r="49" spans="1:24">
      <c r="A49" s="46">
        <v>45427</v>
      </c>
      <c r="B49" s="44"/>
      <c r="C49" s="47">
        <v>90.18</v>
      </c>
      <c r="D49" s="44"/>
      <c r="E49" s="47">
        <v>54.49</v>
      </c>
      <c r="F49" s="44"/>
      <c r="G49" s="47">
        <v>158.5376</v>
      </c>
      <c r="H49" s="44"/>
      <c r="I49" s="47">
        <v>80.9221</v>
      </c>
      <c r="J49" s="44"/>
      <c r="K49" s="47">
        <v>79.510000000000005</v>
      </c>
      <c r="L49" s="44"/>
      <c r="M49" s="47">
        <v>96.88</v>
      </c>
      <c r="N49" s="44"/>
      <c r="O49" s="47">
        <v>97.293999999999997</v>
      </c>
      <c r="P49" s="44"/>
      <c r="Q49" s="47">
        <v>153.9042</v>
      </c>
      <c r="R49" s="44"/>
      <c r="S49" s="47">
        <v>79.555999999999997</v>
      </c>
      <c r="T49" s="44"/>
      <c r="U49" s="47">
        <v>160.05189999999999</v>
      </c>
      <c r="V49" s="44"/>
      <c r="W49" s="47">
        <v>246.20230000000001</v>
      </c>
      <c r="X49" s="44"/>
    </row>
    <row r="50" spans="1:24">
      <c r="A50" s="46">
        <v>45428</v>
      </c>
      <c r="B50" s="44"/>
      <c r="C50" s="47">
        <v>91.27</v>
      </c>
      <c r="D50" s="44"/>
      <c r="E50" s="47">
        <v>55.01</v>
      </c>
      <c r="F50" s="44"/>
      <c r="G50" s="47">
        <v>160.62909999999999</v>
      </c>
      <c r="H50" s="44"/>
      <c r="I50" s="47">
        <v>81.668499999999995</v>
      </c>
      <c r="J50" s="44"/>
      <c r="K50" s="47">
        <v>80.53</v>
      </c>
      <c r="L50" s="44"/>
      <c r="M50" s="47">
        <v>97.65</v>
      </c>
      <c r="N50" s="44"/>
      <c r="O50" s="47">
        <v>98.16</v>
      </c>
      <c r="P50" s="44"/>
      <c r="Q50" s="47">
        <v>156.03880000000001</v>
      </c>
      <c r="R50" s="44"/>
      <c r="S50" s="47">
        <v>80.358400000000003</v>
      </c>
      <c r="T50" s="44"/>
      <c r="U50" s="47">
        <v>161.82</v>
      </c>
      <c r="V50" s="44"/>
      <c r="W50" s="47">
        <v>247.27930000000001</v>
      </c>
      <c r="X50" s="44"/>
    </row>
    <row r="51" spans="1:24">
      <c r="A51" s="46">
        <v>45429</v>
      </c>
      <c r="B51" s="44"/>
      <c r="C51" s="47">
        <v>92.64</v>
      </c>
      <c r="D51" s="44"/>
      <c r="E51" s="47">
        <v>55.24</v>
      </c>
      <c r="F51" s="44"/>
      <c r="G51" s="47">
        <v>162.17529999999999</v>
      </c>
      <c r="H51" s="44"/>
      <c r="I51" s="47">
        <v>82.064599999999999</v>
      </c>
      <c r="J51" s="44"/>
      <c r="K51" s="47">
        <v>81.61</v>
      </c>
      <c r="L51" s="44"/>
      <c r="M51" s="47">
        <v>98</v>
      </c>
      <c r="N51" s="44"/>
      <c r="O51" s="47">
        <v>98.661000000000001</v>
      </c>
      <c r="P51" s="44"/>
      <c r="Q51" s="47">
        <v>157.8758</v>
      </c>
      <c r="R51" s="44"/>
      <c r="S51" s="47">
        <v>80.718500000000006</v>
      </c>
      <c r="T51" s="44"/>
      <c r="U51" s="47">
        <v>164.39330000000001</v>
      </c>
      <c r="V51" s="44"/>
      <c r="W51" s="47">
        <v>249.7467</v>
      </c>
      <c r="X51" s="44"/>
    </row>
    <row r="52" spans="1:24">
      <c r="A52" s="46">
        <v>45430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</row>
    <row r="53" spans="1:24">
      <c r="A53" s="46">
        <v>45431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</row>
    <row r="54" spans="1:24">
      <c r="A54" s="46">
        <v>45432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</row>
    <row r="55" spans="1:24">
      <c r="A55" s="46">
        <v>45433</v>
      </c>
      <c r="B55" s="44"/>
      <c r="C55" s="47">
        <v>92.84</v>
      </c>
      <c r="D55" s="44"/>
      <c r="E55" s="47">
        <v>55.33</v>
      </c>
      <c r="F55" s="44"/>
      <c r="G55" s="47">
        <v>163.1345</v>
      </c>
      <c r="H55" s="44"/>
      <c r="I55" s="47">
        <v>82.125</v>
      </c>
      <c r="J55" s="44"/>
      <c r="K55" s="47">
        <v>81.849999999999994</v>
      </c>
      <c r="L55" s="44"/>
      <c r="M55" s="47">
        <v>98.15</v>
      </c>
      <c r="N55" s="44"/>
      <c r="O55" s="47">
        <v>98.899000000000001</v>
      </c>
      <c r="P55" s="44"/>
      <c r="Q55" s="47">
        <v>158.1515</v>
      </c>
      <c r="R55" s="44"/>
      <c r="S55" s="47">
        <v>81.056799999999996</v>
      </c>
      <c r="T55" s="44"/>
      <c r="U55" s="47">
        <v>164.2216</v>
      </c>
      <c r="V55" s="44"/>
      <c r="W55" s="47">
        <v>252.58359999999999</v>
      </c>
      <c r="X55" s="44"/>
    </row>
    <row r="56" spans="1:24">
      <c r="A56" s="46">
        <v>45434</v>
      </c>
      <c r="B56" s="44"/>
      <c r="C56" s="47">
        <v>92.84</v>
      </c>
      <c r="D56" s="44"/>
      <c r="E56" s="47">
        <v>55.49</v>
      </c>
      <c r="F56" s="44"/>
      <c r="G56" s="47">
        <v>163.48079999999999</v>
      </c>
      <c r="H56" s="44"/>
      <c r="I56" s="47">
        <v>82.489400000000003</v>
      </c>
      <c r="J56" s="44"/>
      <c r="K56" s="47">
        <v>82.27</v>
      </c>
      <c r="L56" s="44"/>
      <c r="M56" s="47">
        <v>98.4</v>
      </c>
      <c r="N56" s="44"/>
      <c r="O56" s="47">
        <v>99.225999999999999</v>
      </c>
      <c r="P56" s="44"/>
      <c r="Q56" s="47">
        <v>158.45670000000001</v>
      </c>
      <c r="R56" s="44"/>
      <c r="S56" s="47">
        <v>81.378399999999999</v>
      </c>
      <c r="T56" s="44"/>
      <c r="U56" s="47">
        <v>164.37029999999999</v>
      </c>
      <c r="V56" s="44"/>
      <c r="W56" s="47">
        <v>254.14519999999999</v>
      </c>
      <c r="X56" s="44"/>
    </row>
    <row r="57" spans="1:24">
      <c r="A57" s="46">
        <v>45435</v>
      </c>
      <c r="B57" s="44"/>
      <c r="C57" s="47">
        <v>93.1</v>
      </c>
      <c r="D57" s="44"/>
      <c r="E57" s="47">
        <v>56.18</v>
      </c>
      <c r="F57" s="44"/>
      <c r="G57" s="47">
        <v>163.2055</v>
      </c>
      <c r="H57" s="44"/>
      <c r="I57" s="47">
        <v>83.466200000000001</v>
      </c>
      <c r="J57" s="44"/>
      <c r="K57" s="47">
        <v>82.7</v>
      </c>
      <c r="L57" s="44"/>
      <c r="M57" s="47">
        <v>99.71</v>
      </c>
      <c r="N57" s="44"/>
      <c r="O57" s="47">
        <v>100.517</v>
      </c>
      <c r="P57" s="44"/>
      <c r="Q57" s="47">
        <v>158.86189999999999</v>
      </c>
      <c r="R57" s="44"/>
      <c r="S57" s="47">
        <v>82.366399999999999</v>
      </c>
      <c r="T57" s="44"/>
      <c r="U57" s="47">
        <v>164.7321</v>
      </c>
      <c r="V57" s="44"/>
      <c r="W57" s="47">
        <v>254.7841</v>
      </c>
      <c r="X57" s="44"/>
    </row>
    <row r="58" spans="1:24">
      <c r="A58" s="46">
        <v>45436</v>
      </c>
      <c r="B58" s="44"/>
      <c r="C58" s="47">
        <v>93.01</v>
      </c>
      <c r="D58" s="44"/>
      <c r="E58" s="47">
        <v>56.01</v>
      </c>
      <c r="F58" s="44"/>
      <c r="G58" s="47">
        <v>162.64070000000001</v>
      </c>
      <c r="H58" s="44"/>
      <c r="I58" s="47">
        <v>83.374700000000004</v>
      </c>
      <c r="J58" s="44"/>
      <c r="K58" s="47">
        <v>82.59</v>
      </c>
      <c r="L58" s="44"/>
      <c r="M58" s="47">
        <v>99.74</v>
      </c>
      <c r="N58" s="44"/>
      <c r="O58" s="47">
        <v>100.54300000000001</v>
      </c>
      <c r="P58" s="44"/>
      <c r="Q58" s="47">
        <v>159.0514</v>
      </c>
      <c r="R58" s="44"/>
      <c r="S58" s="47">
        <v>82.325299999999999</v>
      </c>
      <c r="T58" s="44"/>
      <c r="U58" s="47">
        <v>164.9255</v>
      </c>
      <c r="V58" s="44"/>
      <c r="W58" s="47">
        <v>254.4</v>
      </c>
      <c r="X58" s="44"/>
    </row>
    <row r="59" spans="1:24">
      <c r="A59" s="46">
        <v>45437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</row>
    <row r="60" spans="1:24">
      <c r="A60" s="46">
        <v>45438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</row>
    <row r="61" spans="1:24">
      <c r="A61" s="46">
        <v>45439</v>
      </c>
      <c r="B61" s="44"/>
      <c r="C61" s="47">
        <v>93.08</v>
      </c>
      <c r="D61" s="44"/>
      <c r="E61" s="47">
        <v>55.87</v>
      </c>
      <c r="F61" s="44"/>
      <c r="G61" s="47">
        <v>162.39660000000001</v>
      </c>
      <c r="H61" s="44"/>
      <c r="I61" s="47">
        <v>83.513599999999997</v>
      </c>
      <c r="J61" s="44"/>
      <c r="K61" s="47">
        <v>82.36</v>
      </c>
      <c r="L61" s="44"/>
      <c r="M61" s="47">
        <v>99.53</v>
      </c>
      <c r="N61" s="44"/>
      <c r="O61" s="47">
        <v>0.52700000000000002</v>
      </c>
      <c r="P61" s="44"/>
      <c r="Q61" s="47">
        <v>158.6232</v>
      </c>
      <c r="R61" s="44"/>
      <c r="S61" s="47">
        <v>82.205100000000002</v>
      </c>
      <c r="T61" s="44"/>
      <c r="U61" s="47">
        <v>165.2473</v>
      </c>
      <c r="V61" s="44"/>
      <c r="W61" s="47">
        <v>254.3219</v>
      </c>
      <c r="X61" s="44"/>
    </row>
    <row r="62" spans="1:24">
      <c r="A62" s="46">
        <v>45440</v>
      </c>
      <c r="B62" s="44"/>
      <c r="C62" s="47">
        <v>92.28</v>
      </c>
      <c r="D62" s="44"/>
      <c r="E62" s="47">
        <v>55.6</v>
      </c>
      <c r="F62" s="44"/>
      <c r="G62" s="47">
        <v>161.80019999999999</v>
      </c>
      <c r="H62" s="44"/>
      <c r="I62" s="47">
        <v>83.390500000000003</v>
      </c>
      <c r="J62" s="44"/>
      <c r="K62" s="47">
        <v>81.88</v>
      </c>
      <c r="L62" s="44"/>
      <c r="M62" s="47">
        <v>99.3</v>
      </c>
      <c r="N62" s="44"/>
      <c r="O62" s="47">
        <v>100.247</v>
      </c>
      <c r="P62" s="44"/>
      <c r="Q62" s="47">
        <v>157.22190000000001</v>
      </c>
      <c r="R62" s="44"/>
      <c r="S62" s="47">
        <v>81.8703</v>
      </c>
      <c r="T62" s="44"/>
      <c r="U62" s="47">
        <v>163.86199999999999</v>
      </c>
      <c r="V62" s="44"/>
      <c r="W62" s="47">
        <v>252.26570000000001</v>
      </c>
      <c r="X62" s="44"/>
    </row>
    <row r="63" spans="1:24">
      <c r="A63" s="46">
        <v>45441</v>
      </c>
      <c r="B63" s="44"/>
      <c r="C63" s="47">
        <v>92.35</v>
      </c>
      <c r="D63" s="44"/>
      <c r="E63" s="47">
        <v>55.16</v>
      </c>
      <c r="F63" s="44"/>
      <c r="G63" s="47">
        <v>162.3466</v>
      </c>
      <c r="H63" s="44"/>
      <c r="I63" s="47">
        <v>82.883600000000001</v>
      </c>
      <c r="J63" s="44"/>
      <c r="K63" s="47">
        <v>82.03</v>
      </c>
      <c r="L63" s="44"/>
      <c r="M63" s="47">
        <v>98.45</v>
      </c>
      <c r="N63" s="44"/>
      <c r="O63" s="47">
        <v>99.471999999999994</v>
      </c>
      <c r="P63" s="44"/>
      <c r="Q63" s="47">
        <v>157.0454</v>
      </c>
      <c r="R63" s="44"/>
      <c r="S63" s="47">
        <v>81.171300000000002</v>
      </c>
      <c r="T63" s="44"/>
      <c r="U63" s="47">
        <v>163.88990000000001</v>
      </c>
      <c r="V63" s="44"/>
      <c r="W63" s="47">
        <v>252.2353</v>
      </c>
      <c r="X63" s="44"/>
    </row>
    <row r="64" spans="1:24">
      <c r="A64" s="46">
        <v>45442</v>
      </c>
      <c r="B64" s="44"/>
      <c r="C64" s="47">
        <v>91.41</v>
      </c>
      <c r="D64" s="44"/>
      <c r="E64" s="47">
        <v>54.63</v>
      </c>
      <c r="F64" s="44"/>
      <c r="G64" s="47">
        <v>160.6395</v>
      </c>
      <c r="H64" s="44"/>
      <c r="I64" s="47">
        <v>82.421999999999997</v>
      </c>
      <c r="J64" s="44"/>
      <c r="K64" s="47">
        <v>80.84</v>
      </c>
      <c r="L64" s="44"/>
      <c r="M64" s="47">
        <v>97.69</v>
      </c>
      <c r="N64" s="44"/>
      <c r="O64" s="47">
        <v>98.801000000000002</v>
      </c>
      <c r="P64" s="44"/>
      <c r="Q64" s="47">
        <v>155.61760000000001</v>
      </c>
      <c r="R64" s="44"/>
      <c r="S64" s="47">
        <v>80.574600000000004</v>
      </c>
      <c r="T64" s="44"/>
      <c r="U64" s="47">
        <v>162.72489999999999</v>
      </c>
      <c r="V64" s="44"/>
      <c r="W64" s="47">
        <v>248.05260000000001</v>
      </c>
      <c r="X64" s="44"/>
    </row>
    <row r="65" spans="1:24">
      <c r="A65" s="46">
        <v>45443</v>
      </c>
      <c r="B65" s="44"/>
      <c r="C65" s="47">
        <v>92.21</v>
      </c>
      <c r="D65" s="44"/>
      <c r="E65" s="47">
        <v>54.67</v>
      </c>
      <c r="F65" s="44"/>
      <c r="G65" s="47">
        <v>162.0162</v>
      </c>
      <c r="H65" s="44"/>
      <c r="I65" s="47">
        <v>82.344499999999996</v>
      </c>
      <c r="J65" s="44"/>
      <c r="K65" s="47">
        <v>80.849999999999994</v>
      </c>
      <c r="L65" s="44"/>
      <c r="M65" s="47">
        <v>97.8</v>
      </c>
      <c r="N65" s="44"/>
      <c r="O65" s="47">
        <v>98.960999999999999</v>
      </c>
      <c r="P65" s="44"/>
      <c r="Q65" s="47">
        <v>156.25290000000001</v>
      </c>
      <c r="R65" s="44"/>
      <c r="S65" s="47">
        <v>80.984499999999997</v>
      </c>
      <c r="T65" s="44"/>
      <c r="U65" s="47">
        <v>164.16499999999999</v>
      </c>
      <c r="V65" s="44"/>
      <c r="W65" s="47">
        <v>251.24600000000001</v>
      </c>
      <c r="X65" s="44"/>
    </row>
    <row r="66" spans="1:24">
      <c r="A66" s="46">
        <v>45444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</row>
    <row r="67" spans="1:24">
      <c r="A67" s="46">
        <v>45445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</row>
    <row r="68" spans="1:24">
      <c r="A68" s="46">
        <v>45446</v>
      </c>
      <c r="B68" s="44"/>
      <c r="C68" s="47">
        <v>93.78</v>
      </c>
      <c r="D68" s="44"/>
      <c r="E68" s="47">
        <v>56.24</v>
      </c>
      <c r="F68" s="44"/>
      <c r="G68" s="47">
        <v>164.96979999999999</v>
      </c>
      <c r="H68" s="44"/>
      <c r="I68" s="47">
        <v>84.428899999999999</v>
      </c>
      <c r="J68" s="44"/>
      <c r="K68" s="47">
        <v>82.44</v>
      </c>
      <c r="L68" s="44"/>
      <c r="M68" s="47">
        <v>100.81</v>
      </c>
      <c r="N68" s="44"/>
      <c r="O68" s="47">
        <v>101.751</v>
      </c>
      <c r="P68" s="44"/>
      <c r="Q68" s="47">
        <v>159.59100000000001</v>
      </c>
      <c r="R68" s="44"/>
      <c r="S68" s="47">
        <v>83.6755</v>
      </c>
      <c r="T68" s="44"/>
      <c r="U68" s="47">
        <v>167.5042</v>
      </c>
      <c r="V68" s="44"/>
      <c r="W68" s="47">
        <v>257.77390000000003</v>
      </c>
      <c r="X68" s="44"/>
    </row>
    <row r="69" spans="1:24">
      <c r="A69" s="46">
        <v>45447</v>
      </c>
      <c r="B69" s="44"/>
      <c r="C69" s="47">
        <v>89.24</v>
      </c>
      <c r="D69" s="44"/>
      <c r="E69" s="47">
        <v>53.54</v>
      </c>
      <c r="F69" s="44"/>
      <c r="G69" s="47">
        <v>157.4136</v>
      </c>
      <c r="H69" s="44"/>
      <c r="I69" s="47">
        <v>80.6477</v>
      </c>
      <c r="J69" s="44"/>
      <c r="K69" s="47">
        <v>78.010000000000005</v>
      </c>
      <c r="L69" s="44"/>
      <c r="M69" s="47">
        <v>94.96</v>
      </c>
      <c r="N69" s="44"/>
      <c r="O69" s="47">
        <v>96.09</v>
      </c>
      <c r="P69" s="44"/>
      <c r="Q69" s="47">
        <v>148.53540000000001</v>
      </c>
      <c r="R69" s="44"/>
      <c r="S69" s="47">
        <v>78.130499999999998</v>
      </c>
      <c r="T69" s="44"/>
      <c r="U69" s="47">
        <v>157.42009999999999</v>
      </c>
      <c r="V69" s="44"/>
      <c r="W69" s="47">
        <v>236.46610000000001</v>
      </c>
      <c r="X69" s="44"/>
    </row>
    <row r="70" spans="1:24">
      <c r="A70" s="46">
        <v>45448</v>
      </c>
      <c r="B70" s="44"/>
      <c r="C70" s="47">
        <v>91.16</v>
      </c>
      <c r="D70" s="44"/>
      <c r="E70" s="47">
        <v>55.4</v>
      </c>
      <c r="F70" s="44"/>
      <c r="G70" s="47">
        <v>161.54920000000001</v>
      </c>
      <c r="H70" s="44"/>
      <c r="I70" s="47">
        <v>83.194100000000006</v>
      </c>
      <c r="J70" s="44"/>
      <c r="K70" s="47">
        <v>80.069999999999993</v>
      </c>
      <c r="L70" s="44"/>
      <c r="M70" s="47">
        <v>97.9</v>
      </c>
      <c r="N70" s="44"/>
      <c r="O70" s="47">
        <v>99.397999999999996</v>
      </c>
      <c r="P70" s="44"/>
      <c r="Q70" s="47">
        <v>152.96789999999999</v>
      </c>
      <c r="R70" s="44"/>
      <c r="S70" s="47">
        <v>80.675600000000003</v>
      </c>
      <c r="T70" s="44"/>
      <c r="U70" s="47">
        <v>162.273</v>
      </c>
      <c r="V70" s="44"/>
      <c r="W70" s="47">
        <v>245.25120000000001</v>
      </c>
      <c r="X70" s="44"/>
    </row>
    <row r="71" spans="1:24">
      <c r="A71" s="46">
        <v>45449</v>
      </c>
      <c r="B71" s="44"/>
      <c r="C71" s="47">
        <v>93.41</v>
      </c>
      <c r="D71" s="44"/>
      <c r="E71" s="47">
        <v>55.76</v>
      </c>
      <c r="F71" s="44"/>
      <c r="G71" s="47">
        <v>164.59739999999999</v>
      </c>
      <c r="H71" s="44"/>
      <c r="I71" s="47">
        <v>83.998699999999999</v>
      </c>
      <c r="J71" s="44"/>
      <c r="K71" s="47">
        <v>82.17</v>
      </c>
      <c r="L71" s="44"/>
      <c r="M71" s="47">
        <v>98.72</v>
      </c>
      <c r="N71" s="44"/>
      <c r="O71" s="47">
        <v>100.57599999999999</v>
      </c>
      <c r="P71" s="44"/>
      <c r="Q71" s="47">
        <v>157.1096</v>
      </c>
      <c r="R71" s="44"/>
      <c r="S71" s="47">
        <v>81.587599999999995</v>
      </c>
      <c r="T71" s="44"/>
      <c r="U71" s="47">
        <v>166.63550000000001</v>
      </c>
      <c r="V71" s="44"/>
      <c r="W71" s="47">
        <v>252.99189999999999</v>
      </c>
      <c r="X71" s="44"/>
    </row>
    <row r="72" spans="1:24">
      <c r="A72" s="46">
        <v>45450</v>
      </c>
      <c r="B72" s="44"/>
      <c r="C72" s="47">
        <v>95.15</v>
      </c>
      <c r="D72" s="44"/>
      <c r="E72" s="47">
        <v>56.85</v>
      </c>
      <c r="F72" s="44"/>
      <c r="G72" s="47">
        <v>167.29499999999999</v>
      </c>
      <c r="H72" s="44"/>
      <c r="I72" s="47">
        <v>85.190200000000004</v>
      </c>
      <c r="J72" s="44"/>
      <c r="K72" s="47">
        <v>83.75</v>
      </c>
      <c r="L72" s="44"/>
      <c r="M72" s="47">
        <v>100.53</v>
      </c>
      <c r="N72" s="44"/>
      <c r="O72" s="47">
        <v>102.379</v>
      </c>
      <c r="P72" s="44"/>
      <c r="Q72" s="47">
        <v>160.43199999999999</v>
      </c>
      <c r="R72" s="44"/>
      <c r="S72" s="47">
        <v>83.1511</v>
      </c>
      <c r="T72" s="44"/>
      <c r="U72" s="47">
        <v>169.8459</v>
      </c>
      <c r="V72" s="44"/>
      <c r="W72" s="47">
        <v>257.80419999999998</v>
      </c>
      <c r="X72" s="44"/>
    </row>
    <row r="73" spans="1:24">
      <c r="A73" s="46">
        <v>45451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</row>
    <row r="74" spans="1:24">
      <c r="A74" s="46">
        <v>45452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</row>
    <row r="75" spans="1:24">
      <c r="A75" s="46">
        <v>45453</v>
      </c>
      <c r="B75" s="44"/>
      <c r="C75" s="48">
        <v>96.04</v>
      </c>
      <c r="D75" s="44"/>
      <c r="E75" s="48">
        <v>56.91</v>
      </c>
      <c r="F75" s="44"/>
      <c r="G75" s="48">
        <v>169.7371</v>
      </c>
      <c r="H75" s="44"/>
      <c r="I75" s="48">
        <v>85.196200000000005</v>
      </c>
      <c r="J75" s="44"/>
      <c r="K75" s="48">
        <v>84.58</v>
      </c>
      <c r="L75" s="44"/>
      <c r="M75" s="48">
        <v>100.81</v>
      </c>
      <c r="N75" s="44"/>
      <c r="O75" s="48">
        <v>102.462</v>
      </c>
      <c r="P75" s="44"/>
      <c r="Q75" s="48">
        <v>162.0128</v>
      </c>
      <c r="R75" s="44"/>
      <c r="S75" s="48">
        <v>83.284099999999995</v>
      </c>
      <c r="T75" s="44"/>
      <c r="U75" s="48">
        <v>172.06049999999999</v>
      </c>
      <c r="V75" s="44"/>
      <c r="W75" s="48">
        <v>257.12880000000001</v>
      </c>
      <c r="X75" s="44"/>
    </row>
    <row r="76" spans="1:24">
      <c r="A76" s="46">
        <v>45454</v>
      </c>
      <c r="B76" s="44"/>
      <c r="C76" s="47">
        <v>96.52</v>
      </c>
      <c r="D76" s="44"/>
      <c r="E76" s="47">
        <v>56.84</v>
      </c>
      <c r="F76" s="44"/>
      <c r="G76" s="47">
        <v>170.95400000000001</v>
      </c>
      <c r="H76" s="44"/>
      <c r="I76" s="47">
        <v>85.152199999999993</v>
      </c>
      <c r="J76" s="44"/>
      <c r="K76" s="47">
        <v>85</v>
      </c>
      <c r="L76" s="44"/>
      <c r="M76" s="47">
        <v>100.94</v>
      </c>
      <c r="N76" s="44"/>
      <c r="O76" s="47">
        <v>102.46899999999999</v>
      </c>
      <c r="P76" s="44"/>
      <c r="Q76" s="47">
        <v>163.57810000000001</v>
      </c>
      <c r="R76" s="44"/>
      <c r="S76" s="47">
        <v>83.382499999999993</v>
      </c>
      <c r="T76" s="44"/>
      <c r="U76" s="47">
        <v>172.54830000000001</v>
      </c>
      <c r="V76" s="44"/>
      <c r="W76" s="47">
        <v>259.04809999999998</v>
      </c>
      <c r="X76" s="44"/>
    </row>
    <row r="77" spans="1:24">
      <c r="A77" s="46">
        <v>45455</v>
      </c>
      <c r="B77" s="44"/>
      <c r="C77" s="47">
        <v>97.07</v>
      </c>
      <c r="D77" s="44"/>
      <c r="E77" s="47">
        <v>56.93</v>
      </c>
      <c r="F77" s="44"/>
      <c r="G77" s="47">
        <v>172.4547</v>
      </c>
      <c r="H77" s="44"/>
      <c r="I77" s="47">
        <v>85.515600000000006</v>
      </c>
      <c r="J77" s="44"/>
      <c r="K77" s="47">
        <v>85.73</v>
      </c>
      <c r="L77" s="44"/>
      <c r="M77" s="47">
        <v>101.29</v>
      </c>
      <c r="N77" s="44"/>
      <c r="O77" s="47">
        <v>102.854</v>
      </c>
      <c r="P77" s="44"/>
      <c r="Q77" s="47">
        <v>165.20949999999999</v>
      </c>
      <c r="R77" s="44"/>
      <c r="S77" s="47">
        <v>83.779300000000006</v>
      </c>
      <c r="T77" s="44"/>
      <c r="U77" s="47">
        <v>173.79310000000001</v>
      </c>
      <c r="V77" s="44"/>
      <c r="W77" s="47">
        <v>261.6361</v>
      </c>
      <c r="X77" s="44"/>
    </row>
    <row r="78" spans="1:24">
      <c r="A78" s="46">
        <v>45456</v>
      </c>
      <c r="B78" s="44"/>
      <c r="C78" s="47">
        <v>97.78</v>
      </c>
      <c r="D78" s="44"/>
      <c r="E78" s="47">
        <v>57.27</v>
      </c>
      <c r="F78" s="44"/>
      <c r="G78" s="47">
        <v>173.32990000000001</v>
      </c>
      <c r="H78" s="44"/>
      <c r="I78" s="47">
        <v>86.088999999999999</v>
      </c>
      <c r="J78" s="44"/>
      <c r="K78" s="47">
        <v>86.26</v>
      </c>
      <c r="L78" s="44"/>
      <c r="M78" s="47">
        <v>101.61</v>
      </c>
      <c r="N78" s="44"/>
      <c r="O78" s="47">
        <v>103.18</v>
      </c>
      <c r="P78" s="44"/>
      <c r="Q78" s="47">
        <v>166.5515</v>
      </c>
      <c r="R78" s="44"/>
      <c r="S78" s="47">
        <v>84.210700000000003</v>
      </c>
      <c r="T78" s="44"/>
      <c r="U78" s="47">
        <v>175.5986</v>
      </c>
      <c r="V78" s="44"/>
      <c r="W78" s="47">
        <v>263.27260000000001</v>
      </c>
      <c r="X78" s="44"/>
    </row>
    <row r="79" spans="1:24">
      <c r="A79" s="46">
        <v>45457</v>
      </c>
      <c r="B79" s="44"/>
      <c r="C79" s="47">
        <v>98.89</v>
      </c>
      <c r="D79" s="44"/>
      <c r="E79" s="47">
        <v>57.58</v>
      </c>
      <c r="F79" s="44"/>
      <c r="G79" s="47">
        <v>174.81639999999999</v>
      </c>
      <c r="H79" s="44"/>
      <c r="I79" s="47">
        <v>86.6995</v>
      </c>
      <c r="J79" s="44"/>
      <c r="K79" s="47">
        <v>86.72</v>
      </c>
      <c r="L79" s="44"/>
      <c r="M79" s="47">
        <v>101.97</v>
      </c>
      <c r="N79" s="44"/>
      <c r="O79" s="47">
        <v>103.625</v>
      </c>
      <c r="P79" s="44"/>
      <c r="Q79" s="47">
        <v>167.99780000000001</v>
      </c>
      <c r="R79" s="44"/>
      <c r="S79" s="47">
        <v>84.7667</v>
      </c>
      <c r="T79" s="44"/>
      <c r="U79" s="47">
        <v>176.90020000000001</v>
      </c>
      <c r="V79" s="44"/>
      <c r="W79" s="47">
        <v>264.92360000000002</v>
      </c>
      <c r="X79" s="44"/>
    </row>
    <row r="80" spans="1:24">
      <c r="A80" s="46">
        <v>45458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</row>
    <row r="81" spans="1:24">
      <c r="A81" s="46">
        <v>45459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</row>
    <row r="82" spans="1:24">
      <c r="A82" s="46">
        <v>45460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</row>
    <row r="83" spans="1:24">
      <c r="A83" s="46">
        <v>45461</v>
      </c>
      <c r="B83" s="44"/>
      <c r="C83" s="47">
        <v>99.47</v>
      </c>
      <c r="D83" s="44"/>
      <c r="E83" s="47">
        <v>57.99</v>
      </c>
      <c r="F83" s="44"/>
      <c r="G83" s="47">
        <v>174.9076</v>
      </c>
      <c r="H83" s="44"/>
      <c r="I83" s="47">
        <v>86.908000000000001</v>
      </c>
      <c r="J83" s="44"/>
      <c r="K83" s="47">
        <v>86.91</v>
      </c>
      <c r="L83" s="44"/>
      <c r="M83" s="47">
        <v>102.14</v>
      </c>
      <c r="N83" s="44"/>
      <c r="O83" s="47">
        <v>104.2</v>
      </c>
      <c r="P83" s="44"/>
      <c r="Q83" s="47">
        <v>169.63650000000001</v>
      </c>
      <c r="R83" s="44"/>
      <c r="S83" s="47">
        <v>84.891000000000005</v>
      </c>
      <c r="T83" s="44"/>
      <c r="U83" s="47">
        <v>177.77789999999999</v>
      </c>
      <c r="V83" s="44"/>
      <c r="W83" s="47">
        <v>266.69450000000001</v>
      </c>
      <c r="X83" s="44"/>
    </row>
    <row r="84" spans="1:24">
      <c r="A84" s="46">
        <v>45462</v>
      </c>
      <c r="B84" s="44"/>
      <c r="C84" s="47">
        <v>98.82</v>
      </c>
      <c r="D84" s="44"/>
      <c r="E84" s="47">
        <v>57.71</v>
      </c>
      <c r="F84" s="44"/>
      <c r="G84" s="47">
        <v>174.5616</v>
      </c>
      <c r="H84" s="44"/>
      <c r="I84" s="47">
        <v>86.580799999999996</v>
      </c>
      <c r="J84" s="44"/>
      <c r="K84" s="47">
        <v>86.23</v>
      </c>
      <c r="L84" s="44"/>
      <c r="M84" s="47">
        <v>101.53</v>
      </c>
      <c r="N84" s="44"/>
      <c r="O84" s="47">
        <v>104.15900000000001</v>
      </c>
      <c r="P84" s="44"/>
      <c r="Q84" s="47">
        <v>168.5444</v>
      </c>
      <c r="R84" s="44"/>
      <c r="S84" s="47">
        <v>84.691599999999994</v>
      </c>
      <c r="T84" s="44"/>
      <c r="U84" s="47">
        <v>177.10230000000001</v>
      </c>
      <c r="V84" s="44"/>
      <c r="W84" s="47">
        <v>266.35610000000003</v>
      </c>
      <c r="X84" s="44"/>
    </row>
    <row r="85" spans="1:24">
      <c r="A85" s="46">
        <v>45463</v>
      </c>
      <c r="B85" s="44"/>
      <c r="C85" s="47">
        <v>99.02</v>
      </c>
      <c r="D85" s="44"/>
      <c r="E85" s="47">
        <v>57.63</v>
      </c>
      <c r="F85" s="44"/>
      <c r="G85" s="47">
        <v>175.32249999999999</v>
      </c>
      <c r="H85" s="44"/>
      <c r="I85" s="47">
        <v>86.780100000000004</v>
      </c>
      <c r="J85" s="44"/>
      <c r="K85" s="47">
        <v>86.72</v>
      </c>
      <c r="L85" s="44"/>
      <c r="M85" s="47">
        <v>101.7</v>
      </c>
      <c r="N85" s="44"/>
      <c r="O85" s="47">
        <v>104.536</v>
      </c>
      <c r="P85" s="44"/>
      <c r="Q85" s="47">
        <v>169.01490000000001</v>
      </c>
      <c r="R85" s="44"/>
      <c r="S85" s="47">
        <v>84.952399999999997</v>
      </c>
      <c r="T85" s="44"/>
      <c r="U85" s="47">
        <v>178.15639999999999</v>
      </c>
      <c r="V85" s="44"/>
      <c r="W85" s="47">
        <v>268.36259999999999</v>
      </c>
      <c r="X85" s="44"/>
    </row>
    <row r="86" spans="1:24">
      <c r="A86" s="46">
        <v>45464</v>
      </c>
      <c r="B86" s="44"/>
      <c r="C86" s="47">
        <v>98.68</v>
      </c>
      <c r="D86" s="44"/>
      <c r="E86" s="47">
        <v>57.43</v>
      </c>
      <c r="F86" s="44"/>
      <c r="G86" s="47">
        <v>175.4179</v>
      </c>
      <c r="H86" s="44"/>
      <c r="I86" s="47">
        <v>86.443200000000004</v>
      </c>
      <c r="J86" s="44"/>
      <c r="K86" s="47">
        <v>86.5</v>
      </c>
      <c r="L86" s="44"/>
      <c r="M86" s="47">
        <v>101.4</v>
      </c>
      <c r="N86" s="44"/>
      <c r="O86" s="47">
        <v>104.387</v>
      </c>
      <c r="P86" s="44"/>
      <c r="Q86" s="47">
        <v>168.68219999999999</v>
      </c>
      <c r="R86" s="44"/>
      <c r="S86" s="47">
        <v>84.659300000000002</v>
      </c>
      <c r="T86" s="44"/>
      <c r="U86" s="47">
        <v>178.2937</v>
      </c>
      <c r="V86" s="44"/>
      <c r="W86" s="47">
        <v>267.34570000000002</v>
      </c>
      <c r="X86" s="44"/>
    </row>
    <row r="87" spans="1:24">
      <c r="A87" s="46">
        <v>45465</v>
      </c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7">
        <v>265.56939999999997</v>
      </c>
      <c r="X87" s="44"/>
    </row>
    <row r="88" spans="1:24">
      <c r="A88" s="46">
        <v>45466</v>
      </c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</row>
    <row r="89" spans="1:24">
      <c r="A89" s="46">
        <v>45467</v>
      </c>
      <c r="B89" s="44"/>
      <c r="C89" s="47">
        <v>98.88</v>
      </c>
      <c r="D89" s="44"/>
      <c r="E89" s="47">
        <v>57.71</v>
      </c>
      <c r="F89" s="44"/>
      <c r="G89" s="47">
        <v>175.50970000000001</v>
      </c>
      <c r="H89" s="44"/>
      <c r="I89" s="47">
        <v>86.809700000000007</v>
      </c>
      <c r="J89" s="44"/>
      <c r="K89" s="47">
        <v>86.86</v>
      </c>
      <c r="L89" s="44"/>
      <c r="M89" s="47">
        <v>101.64</v>
      </c>
      <c r="N89" s="44"/>
      <c r="O89" s="47">
        <v>104.545</v>
      </c>
      <c r="P89" s="44"/>
      <c r="Q89" s="47">
        <v>169.42590000000001</v>
      </c>
      <c r="R89" s="44"/>
      <c r="S89" s="47">
        <v>84.821100000000001</v>
      </c>
      <c r="T89" s="44"/>
      <c r="U89" s="47">
        <v>178.69589999999999</v>
      </c>
      <c r="V89" s="44"/>
      <c r="W89" s="44"/>
      <c r="X89" s="44"/>
    </row>
    <row r="90" spans="1:24">
      <c r="A90" s="46">
        <v>45468</v>
      </c>
      <c r="B90" s="44"/>
      <c r="C90" s="47">
        <v>99.45</v>
      </c>
      <c r="D90" s="44"/>
      <c r="E90" s="47">
        <v>57.97</v>
      </c>
      <c r="F90" s="44"/>
      <c r="G90" s="47">
        <v>175.79130000000001</v>
      </c>
      <c r="H90" s="44"/>
      <c r="I90" s="47">
        <v>87.190299999999993</v>
      </c>
      <c r="J90" s="44"/>
      <c r="K90" s="47">
        <v>87.06</v>
      </c>
      <c r="L90" s="44"/>
      <c r="M90" s="47">
        <v>102.2</v>
      </c>
      <c r="N90" s="44"/>
      <c r="O90" s="47">
        <v>105.379</v>
      </c>
      <c r="P90" s="44"/>
      <c r="Q90" s="47">
        <v>169.27160000000001</v>
      </c>
      <c r="R90" s="44"/>
      <c r="S90" s="47">
        <v>85.400199999999998</v>
      </c>
      <c r="T90" s="44"/>
      <c r="U90" s="47">
        <v>179.08519999999999</v>
      </c>
      <c r="V90" s="44"/>
      <c r="W90" s="47">
        <v>265.49770000000001</v>
      </c>
      <c r="X90" s="44"/>
    </row>
    <row r="91" spans="1:24">
      <c r="A91" s="46">
        <v>45469</v>
      </c>
      <c r="B91" s="44"/>
      <c r="C91" s="47">
        <v>99.25</v>
      </c>
      <c r="D91" s="44"/>
      <c r="E91" s="47">
        <v>58.28</v>
      </c>
      <c r="F91" s="44"/>
      <c r="G91" s="47">
        <v>175.25210000000001</v>
      </c>
      <c r="H91" s="44"/>
      <c r="I91" s="47">
        <v>87.491900000000001</v>
      </c>
      <c r="J91" s="44"/>
      <c r="K91" s="47">
        <v>87.29</v>
      </c>
      <c r="L91" s="44"/>
      <c r="M91" s="47">
        <v>102.87</v>
      </c>
      <c r="N91" s="44"/>
      <c r="O91" s="47">
        <v>105.93300000000001</v>
      </c>
      <c r="P91" s="44"/>
      <c r="Q91" s="47">
        <v>169.64830000000001</v>
      </c>
      <c r="R91" s="44"/>
      <c r="S91" s="47">
        <v>85.634900000000002</v>
      </c>
      <c r="T91" s="44"/>
      <c r="U91" s="47">
        <v>179.74529999999999</v>
      </c>
      <c r="V91" s="44"/>
      <c r="W91" s="47">
        <v>266.86860000000001</v>
      </c>
      <c r="X91" s="44"/>
    </row>
    <row r="92" spans="1:24">
      <c r="A92" s="46">
        <v>45470</v>
      </c>
      <c r="B92" s="44"/>
      <c r="C92" s="47">
        <v>98.95</v>
      </c>
      <c r="D92" s="44"/>
      <c r="E92" s="47">
        <v>58.66</v>
      </c>
      <c r="F92" s="44"/>
      <c r="G92" s="47">
        <v>174.2407</v>
      </c>
      <c r="H92" s="44"/>
      <c r="I92" s="47">
        <v>88.061499999999995</v>
      </c>
      <c r="J92" s="44"/>
      <c r="K92" s="47">
        <v>87.17</v>
      </c>
      <c r="L92" s="44"/>
      <c r="M92" s="47">
        <v>103.64</v>
      </c>
      <c r="N92" s="44"/>
      <c r="O92" s="47">
        <v>106.48399999999999</v>
      </c>
      <c r="P92" s="44"/>
      <c r="Q92" s="47">
        <v>168.92859999999999</v>
      </c>
      <c r="R92" s="44"/>
      <c r="S92" s="47">
        <v>86.067800000000005</v>
      </c>
      <c r="T92" s="44"/>
      <c r="U92" s="47">
        <v>178.458</v>
      </c>
      <c r="V92" s="44"/>
      <c r="W92" s="47">
        <v>265.72980000000001</v>
      </c>
      <c r="X92" s="44"/>
    </row>
    <row r="93" spans="1:24">
      <c r="A93" s="46">
        <v>45471</v>
      </c>
      <c r="B93" s="44"/>
      <c r="C93" s="47">
        <v>99.68</v>
      </c>
      <c r="D93" s="44"/>
      <c r="E93" s="47">
        <v>58.38</v>
      </c>
      <c r="F93" s="44"/>
      <c r="G93" s="47">
        <v>174.53049999999999</v>
      </c>
      <c r="H93" s="44"/>
      <c r="I93" s="47">
        <v>87.7136</v>
      </c>
      <c r="J93" s="44"/>
      <c r="K93" s="47">
        <v>87.52</v>
      </c>
      <c r="L93" s="44"/>
      <c r="M93" s="47">
        <v>103.49</v>
      </c>
      <c r="N93" s="44"/>
      <c r="O93" s="47">
        <v>106.131</v>
      </c>
      <c r="P93" s="44"/>
      <c r="Q93" s="47">
        <v>169.7002</v>
      </c>
      <c r="R93" s="44"/>
      <c r="S93" s="47">
        <v>85.900999999999996</v>
      </c>
      <c r="T93" s="44"/>
      <c r="U93" s="47">
        <v>179.94159999999999</v>
      </c>
      <c r="V93" s="44"/>
      <c r="W93" s="47">
        <v>266.4957</v>
      </c>
      <c r="X93" s="44"/>
    </row>
    <row r="94" spans="1:24">
      <c r="A94" s="46">
        <v>45472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</row>
    <row r="95" spans="1:24">
      <c r="A95" s="46">
        <v>45473</v>
      </c>
      <c r="B95" s="44"/>
      <c r="C95" s="44"/>
      <c r="D95" s="44"/>
      <c r="E95" s="44"/>
      <c r="F95" s="44"/>
      <c r="G95" s="47">
        <v>174.5224</v>
      </c>
      <c r="H95" s="44"/>
      <c r="I95" s="47">
        <v>87.707099999999997</v>
      </c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</row>
    <row r="96" spans="1:24">
      <c r="A96" s="46">
        <v>45474</v>
      </c>
      <c r="B96" s="44"/>
      <c r="C96" s="47">
        <v>101.63</v>
      </c>
      <c r="D96" s="44"/>
      <c r="E96" s="47">
        <v>58.76</v>
      </c>
      <c r="F96" s="44"/>
      <c r="G96" s="47">
        <v>176.79349999999999</v>
      </c>
      <c r="H96" s="44"/>
      <c r="I96" s="47">
        <v>88.261099999999999</v>
      </c>
      <c r="J96" s="44"/>
      <c r="K96" s="47">
        <v>88.86</v>
      </c>
      <c r="L96" s="44"/>
      <c r="M96" s="47">
        <v>104.02</v>
      </c>
      <c r="N96" s="44"/>
      <c r="O96" s="47">
        <v>107.03400000000001</v>
      </c>
      <c r="P96" s="44"/>
      <c r="Q96" s="47">
        <v>172.6532</v>
      </c>
      <c r="R96" s="44"/>
      <c r="S96" s="47">
        <v>86.580600000000004</v>
      </c>
      <c r="T96" s="44"/>
      <c r="U96" s="47">
        <v>182.4408</v>
      </c>
      <c r="V96" s="44"/>
      <c r="W96" s="47">
        <v>268.76510000000002</v>
      </c>
      <c r="X96" s="44"/>
    </row>
    <row r="97" spans="1:24">
      <c r="A97" s="46">
        <v>45475</v>
      </c>
      <c r="B97" s="44"/>
      <c r="C97" s="47">
        <v>101.6</v>
      </c>
      <c r="D97" s="44"/>
      <c r="E97" s="47">
        <v>58.62</v>
      </c>
      <c r="F97" s="44"/>
      <c r="G97" s="47">
        <v>176.90860000000001</v>
      </c>
      <c r="H97" s="44"/>
      <c r="I97" s="47">
        <v>88.021199999999993</v>
      </c>
      <c r="J97" s="44"/>
      <c r="K97" s="47">
        <v>88.99</v>
      </c>
      <c r="L97" s="44"/>
      <c r="M97" s="47">
        <v>104.03</v>
      </c>
      <c r="N97" s="44"/>
      <c r="O97" s="47">
        <v>106.872</v>
      </c>
      <c r="P97" s="44"/>
      <c r="Q97" s="47">
        <v>172.88040000000001</v>
      </c>
      <c r="R97" s="44"/>
      <c r="S97" s="47">
        <v>86.472399999999993</v>
      </c>
      <c r="T97" s="44"/>
      <c r="U97" s="47">
        <v>181.94409999999999</v>
      </c>
      <c r="V97" s="44"/>
      <c r="W97" s="47">
        <v>268.69080000000002</v>
      </c>
      <c r="X97" s="44"/>
    </row>
    <row r="98" spans="1:24">
      <c r="A98" s="46">
        <v>45476</v>
      </c>
      <c r="B98" s="44"/>
      <c r="C98" s="47">
        <v>101.91</v>
      </c>
      <c r="D98" s="44"/>
      <c r="E98" s="47">
        <v>58.96</v>
      </c>
      <c r="F98" s="44"/>
      <c r="G98" s="47">
        <v>178.94450000000001</v>
      </c>
      <c r="H98" s="44"/>
      <c r="I98" s="47">
        <v>88.599299999999999</v>
      </c>
      <c r="J98" s="44"/>
      <c r="K98" s="47">
        <v>89.51</v>
      </c>
      <c r="L98" s="44"/>
      <c r="M98" s="47">
        <v>104.56</v>
      </c>
      <c r="N98" s="44"/>
      <c r="O98" s="47">
        <v>107.724</v>
      </c>
      <c r="P98" s="44"/>
      <c r="Q98" s="47">
        <v>174.5421</v>
      </c>
      <c r="R98" s="44"/>
      <c r="S98" s="47">
        <v>87.2089</v>
      </c>
      <c r="T98" s="44"/>
      <c r="U98" s="47">
        <v>182.59960000000001</v>
      </c>
      <c r="V98" s="44"/>
      <c r="W98" s="47">
        <v>271.26299999999998</v>
      </c>
      <c r="X98" s="44"/>
    </row>
    <row r="99" spans="1:24">
      <c r="A99" s="46">
        <v>45477</v>
      </c>
      <c r="B99" s="44"/>
      <c r="C99" s="47">
        <v>102.33</v>
      </c>
      <c r="D99" s="44"/>
      <c r="E99" s="47">
        <v>59</v>
      </c>
      <c r="F99" s="44"/>
      <c r="G99" s="47">
        <v>179.52850000000001</v>
      </c>
      <c r="H99" s="44"/>
      <c r="I99" s="47">
        <v>88.737899999999996</v>
      </c>
      <c r="J99" s="44"/>
      <c r="K99" s="47">
        <v>89.79</v>
      </c>
      <c r="L99" s="44"/>
      <c r="M99" s="47">
        <v>104.89</v>
      </c>
      <c r="N99" s="44"/>
      <c r="O99" s="47">
        <v>107.798</v>
      </c>
      <c r="P99" s="44"/>
      <c r="Q99" s="47">
        <v>175.59899999999999</v>
      </c>
      <c r="R99" s="44"/>
      <c r="S99" s="47">
        <v>87.451099999999997</v>
      </c>
      <c r="T99" s="44"/>
      <c r="U99" s="47">
        <v>182.9008</v>
      </c>
      <c r="V99" s="44"/>
      <c r="W99" s="47">
        <v>273.38170000000002</v>
      </c>
      <c r="X99" s="44"/>
    </row>
    <row r="100" spans="1:24">
      <c r="A100" s="46">
        <v>45478</v>
      </c>
      <c r="B100" s="44"/>
      <c r="C100" s="47">
        <v>102.84</v>
      </c>
      <c r="D100" s="44"/>
      <c r="E100" s="47">
        <v>59.09</v>
      </c>
      <c r="F100" s="44"/>
      <c r="G100" s="47">
        <v>180.68790000000001</v>
      </c>
      <c r="H100" s="44"/>
      <c r="I100" s="47">
        <v>89.037499999999994</v>
      </c>
      <c r="J100" s="44"/>
      <c r="K100" s="47">
        <v>89.95</v>
      </c>
      <c r="L100" s="44"/>
      <c r="M100" s="47">
        <v>105.32</v>
      </c>
      <c r="N100" s="44"/>
      <c r="O100" s="47">
        <v>108.14100000000001</v>
      </c>
      <c r="P100" s="44"/>
      <c r="Q100" s="47">
        <v>176.21960000000001</v>
      </c>
      <c r="R100" s="44"/>
      <c r="S100" s="47">
        <v>87.5946</v>
      </c>
      <c r="T100" s="44"/>
      <c r="U100" s="47">
        <v>183.00700000000001</v>
      </c>
      <c r="V100" s="44"/>
      <c r="W100" s="47">
        <v>274.74770000000001</v>
      </c>
      <c r="X100" s="44"/>
    </row>
    <row r="101" spans="1:24">
      <c r="A101" s="46">
        <v>45479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</row>
    <row r="102" spans="1:24">
      <c r="A102" s="46">
        <v>45480</v>
      </c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</row>
    <row r="103" spans="1:24">
      <c r="A103" s="46">
        <v>45481</v>
      </c>
      <c r="B103" s="44"/>
      <c r="C103" s="48">
        <v>102.18</v>
      </c>
      <c r="D103" s="44"/>
      <c r="E103" s="48">
        <v>58.94</v>
      </c>
      <c r="F103" s="44"/>
      <c r="G103" s="48">
        <v>179.84379999999999</v>
      </c>
      <c r="H103" s="44"/>
      <c r="I103" s="48">
        <v>88.8523</v>
      </c>
      <c r="J103" s="44"/>
      <c r="K103" s="48">
        <v>89.6</v>
      </c>
      <c r="L103" s="44"/>
      <c r="M103" s="48">
        <v>105.28</v>
      </c>
      <c r="N103" s="44"/>
      <c r="O103" s="48">
        <v>108.306</v>
      </c>
      <c r="P103" s="44"/>
      <c r="Q103" s="48">
        <v>176.0205</v>
      </c>
      <c r="R103" s="44"/>
      <c r="S103" s="48">
        <v>87.62</v>
      </c>
      <c r="T103" s="44"/>
      <c r="U103" s="48">
        <v>182.4333</v>
      </c>
      <c r="V103" s="44"/>
      <c r="W103" s="48">
        <v>274.51440000000002</v>
      </c>
      <c r="X103" s="44"/>
    </row>
    <row r="104" spans="1:24">
      <c r="A104" s="46">
        <v>45482</v>
      </c>
      <c r="B104" s="44"/>
      <c r="C104" s="47">
        <v>102.63</v>
      </c>
      <c r="D104" s="44"/>
      <c r="E104" s="47">
        <v>59.17</v>
      </c>
      <c r="F104" s="44"/>
      <c r="G104" s="47">
        <v>180.5384</v>
      </c>
      <c r="H104" s="44"/>
      <c r="I104" s="47">
        <v>89.361699999999999</v>
      </c>
      <c r="J104" s="44"/>
      <c r="K104" s="47">
        <v>90.05</v>
      </c>
      <c r="L104" s="44"/>
      <c r="M104" s="47">
        <v>106.05</v>
      </c>
      <c r="N104" s="44"/>
      <c r="O104" s="47">
        <v>108.76</v>
      </c>
      <c r="P104" s="44"/>
      <c r="Q104" s="47">
        <v>176.13409999999999</v>
      </c>
      <c r="R104" s="44"/>
      <c r="S104" s="47">
        <v>88.0398</v>
      </c>
      <c r="T104" s="44"/>
      <c r="U104" s="47">
        <v>183.2525</v>
      </c>
      <c r="V104" s="44"/>
      <c r="W104" s="47">
        <v>273.63639999999998</v>
      </c>
      <c r="X104" s="44"/>
    </row>
    <row r="105" spans="1:24">
      <c r="A105" s="46">
        <v>45483</v>
      </c>
      <c r="B105" s="44"/>
      <c r="C105" s="44">
        <v>101.84</v>
      </c>
      <c r="D105" s="44"/>
      <c r="E105" s="44">
        <v>58.9</v>
      </c>
      <c r="F105" s="44"/>
      <c r="G105" s="44">
        <v>179.8827</v>
      </c>
      <c r="H105" s="44"/>
      <c r="I105" s="44">
        <v>89.081800000000001</v>
      </c>
      <c r="J105" s="44"/>
      <c r="K105" s="44">
        <v>89.71</v>
      </c>
      <c r="L105" s="44"/>
      <c r="M105" s="44">
        <v>105.89</v>
      </c>
      <c r="N105" s="44"/>
      <c r="O105" s="44">
        <v>108.376</v>
      </c>
      <c r="P105" s="44"/>
      <c r="Q105" s="44">
        <v>175.06379999999999</v>
      </c>
      <c r="R105" s="44"/>
      <c r="S105" s="44">
        <v>87.724199999999996</v>
      </c>
      <c r="T105" s="44"/>
      <c r="U105" s="44">
        <v>182.50899999999999</v>
      </c>
      <c r="V105" s="44"/>
      <c r="W105" s="44">
        <v>272.76049999999998</v>
      </c>
      <c r="X105" s="44"/>
    </row>
    <row r="106" spans="1:24">
      <c r="A106" s="46">
        <v>45484</v>
      </c>
      <c r="B106" s="44"/>
      <c r="C106" s="44">
        <v>102.28</v>
      </c>
      <c r="D106" s="44"/>
      <c r="E106" s="44">
        <v>58.8</v>
      </c>
      <c r="F106" s="44"/>
      <c r="G106" s="44">
        <v>181.0487</v>
      </c>
      <c r="H106" s="44"/>
      <c r="I106" s="44">
        <v>88.905699999999996</v>
      </c>
      <c r="J106" s="44"/>
      <c r="K106" s="44">
        <v>89.99</v>
      </c>
      <c r="L106" s="44"/>
      <c r="M106" s="44">
        <v>105.83</v>
      </c>
      <c r="N106" s="44"/>
      <c r="O106" s="44">
        <v>108.48399999999999</v>
      </c>
      <c r="P106" s="44"/>
      <c r="Q106" s="44">
        <v>175.9041</v>
      </c>
      <c r="R106" s="44"/>
      <c r="S106" s="44">
        <v>87.822900000000004</v>
      </c>
      <c r="T106" s="44"/>
      <c r="U106" s="44">
        <v>182.6378</v>
      </c>
      <c r="V106" s="44"/>
      <c r="W106" s="44">
        <v>274.93169999999998</v>
      </c>
      <c r="X106" s="44"/>
    </row>
    <row r="107" spans="1:24">
      <c r="A107" s="46">
        <v>45485</v>
      </c>
      <c r="B107" s="44"/>
      <c r="C107" s="44">
        <v>102.15</v>
      </c>
      <c r="D107" s="44"/>
      <c r="E107" s="44">
        <v>59.11</v>
      </c>
      <c r="F107" s="44"/>
      <c r="G107" s="44">
        <v>180.2011</v>
      </c>
      <c r="H107" s="44"/>
      <c r="I107" s="44">
        <v>89.22</v>
      </c>
      <c r="J107" s="44"/>
      <c r="K107" s="44">
        <v>89.66</v>
      </c>
      <c r="L107" s="44"/>
      <c r="M107" s="44">
        <v>106.22</v>
      </c>
      <c r="N107" s="44"/>
      <c r="O107" s="44">
        <v>109.13500000000001</v>
      </c>
      <c r="P107" s="44"/>
      <c r="Q107" s="44">
        <v>175.6884</v>
      </c>
      <c r="R107" s="44"/>
      <c r="S107" s="44">
        <v>88.076400000000007</v>
      </c>
      <c r="T107" s="44"/>
      <c r="U107" s="44">
        <v>182.43340000000001</v>
      </c>
      <c r="V107" s="44"/>
      <c r="W107" s="44">
        <v>274.5505</v>
      </c>
      <c r="X107" s="44"/>
    </row>
    <row r="108" spans="1:24">
      <c r="A108" s="46">
        <v>45486</v>
      </c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</row>
    <row r="109" spans="1:24">
      <c r="A109" s="46">
        <v>45487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</row>
    <row r="110" spans="1:24">
      <c r="A110" s="46">
        <v>45488</v>
      </c>
      <c r="B110" s="44"/>
      <c r="C110" s="44">
        <v>102.17</v>
      </c>
      <c r="D110" s="44"/>
      <c r="E110" s="44">
        <v>59.43</v>
      </c>
      <c r="F110" s="44"/>
      <c r="G110" s="44">
        <v>180.089</v>
      </c>
      <c r="H110" s="44"/>
      <c r="I110" s="44">
        <v>89.558099999999996</v>
      </c>
      <c r="J110" s="44"/>
      <c r="K110" s="44">
        <v>89.6</v>
      </c>
      <c r="L110" s="44"/>
      <c r="M110" s="44">
        <v>106.71</v>
      </c>
      <c r="N110" s="44"/>
      <c r="O110" s="44">
        <v>109.578</v>
      </c>
      <c r="P110" s="44"/>
      <c r="Q110" s="44">
        <v>176.01079999999999</v>
      </c>
      <c r="R110" s="44"/>
      <c r="S110" s="44">
        <v>88.421400000000006</v>
      </c>
      <c r="T110" s="44"/>
      <c r="U110" s="44">
        <v>182.72</v>
      </c>
      <c r="V110" s="44"/>
      <c r="W110" s="44">
        <v>275.51459999999997</v>
      </c>
      <c r="X110" s="44"/>
    </row>
    <row r="111" spans="1:24">
      <c r="A111" s="46">
        <v>45489</v>
      </c>
      <c r="B111" s="44"/>
      <c r="C111" s="44">
        <v>102.58</v>
      </c>
      <c r="D111" s="44"/>
      <c r="E111" s="44">
        <v>59.41</v>
      </c>
      <c r="F111" s="44"/>
      <c r="G111" s="44">
        <v>180.41839999999999</v>
      </c>
      <c r="H111" s="44"/>
      <c r="I111" s="44">
        <v>89.727400000000003</v>
      </c>
      <c r="J111" s="44"/>
      <c r="K111" s="44">
        <v>89.83</v>
      </c>
      <c r="L111" s="44"/>
      <c r="M111" s="44">
        <v>106.73</v>
      </c>
      <c r="N111" s="44"/>
      <c r="O111" s="44">
        <v>109.565</v>
      </c>
      <c r="P111" s="44"/>
      <c r="Q111" s="44">
        <v>176.4033</v>
      </c>
      <c r="R111" s="44"/>
      <c r="S111" s="44">
        <v>88.151700000000005</v>
      </c>
      <c r="T111" s="44"/>
      <c r="U111" s="44">
        <v>183.08160000000001</v>
      </c>
      <c r="V111" s="44"/>
      <c r="W111" s="44">
        <v>275.48829999999998</v>
      </c>
      <c r="X111" s="44"/>
    </row>
    <row r="112" spans="1:24">
      <c r="A112" s="46">
        <v>45490</v>
      </c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</row>
    <row r="113" spans="1:24">
      <c r="A113" s="46">
        <v>45491</v>
      </c>
      <c r="B113" s="44"/>
      <c r="C113" s="44">
        <v>102.07</v>
      </c>
      <c r="D113" s="44"/>
      <c r="E113" s="44">
        <v>59.79</v>
      </c>
      <c r="F113" s="44"/>
      <c r="G113" s="44">
        <v>179.4931</v>
      </c>
      <c r="H113" s="44"/>
      <c r="I113" s="44">
        <v>90.2239</v>
      </c>
      <c r="J113" s="44"/>
      <c r="K113" s="44">
        <v>89.27</v>
      </c>
      <c r="L113" s="44"/>
      <c r="M113" s="44">
        <v>107.03</v>
      </c>
      <c r="N113" s="44"/>
      <c r="O113" s="44">
        <v>110.15600000000001</v>
      </c>
      <c r="P113" s="44"/>
      <c r="Q113" s="44">
        <v>175.1319</v>
      </c>
      <c r="R113" s="44"/>
      <c r="S113" s="44">
        <v>88.359200000000001</v>
      </c>
      <c r="T113" s="44"/>
      <c r="U113" s="44">
        <v>182.1266</v>
      </c>
      <c r="V113" s="44"/>
      <c r="W113" s="44">
        <v>273.01729999999998</v>
      </c>
      <c r="X113" s="44"/>
    </row>
    <row r="114" spans="1:24">
      <c r="A114" s="46">
        <v>45492</v>
      </c>
      <c r="B114" s="44"/>
      <c r="C114" s="44">
        <v>100.22</v>
      </c>
      <c r="D114" s="44"/>
      <c r="E114" s="44">
        <v>59</v>
      </c>
      <c r="F114" s="44"/>
      <c r="G114" s="44">
        <v>176.95840000000001</v>
      </c>
      <c r="H114" s="44"/>
      <c r="I114" s="44">
        <v>89.284400000000005</v>
      </c>
      <c r="J114" s="44"/>
      <c r="K114" s="44">
        <v>87.56</v>
      </c>
      <c r="L114" s="44"/>
      <c r="M114" s="44">
        <v>105.57</v>
      </c>
      <c r="N114" s="44"/>
      <c r="O114" s="44">
        <v>109.11</v>
      </c>
      <c r="P114" s="44"/>
      <c r="Q114" s="44">
        <v>171.5659</v>
      </c>
      <c r="R114" s="44"/>
      <c r="S114" s="44">
        <v>87.184600000000003</v>
      </c>
      <c r="T114" s="44"/>
      <c r="U114" s="44">
        <v>179.17779999999999</v>
      </c>
      <c r="V114" s="44"/>
      <c r="W114" s="44">
        <v>269.61079999999998</v>
      </c>
      <c r="X114" s="44"/>
    </row>
    <row r="115" spans="1:24">
      <c r="A115" s="46">
        <v>45493</v>
      </c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</row>
    <row r="116" spans="1:24">
      <c r="A116" s="46">
        <v>45494</v>
      </c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</row>
    <row r="117" spans="1:24">
      <c r="A117" s="46">
        <v>45495</v>
      </c>
      <c r="B117" s="44"/>
      <c r="C117" s="44">
        <v>100.63</v>
      </c>
      <c r="D117" s="44"/>
      <c r="E117" s="44">
        <v>59.12</v>
      </c>
      <c r="F117" s="44"/>
      <c r="G117" s="44">
        <v>178.0915</v>
      </c>
      <c r="H117" s="44"/>
      <c r="I117" s="44">
        <v>89.334900000000005</v>
      </c>
      <c r="J117" s="44"/>
      <c r="K117" s="44">
        <v>88.09</v>
      </c>
      <c r="L117" s="44"/>
      <c r="M117" s="44">
        <v>105.8</v>
      </c>
      <c r="N117" s="44"/>
      <c r="O117" s="44">
        <v>109.03400000000001</v>
      </c>
      <c r="P117" s="44"/>
      <c r="Q117" s="44">
        <v>172.7835</v>
      </c>
      <c r="R117" s="44"/>
      <c r="S117" s="44">
        <v>87.442400000000006</v>
      </c>
      <c r="T117" s="44"/>
      <c r="U117" s="44">
        <v>180.18109999999999</v>
      </c>
      <c r="V117" s="44"/>
      <c r="W117" s="44">
        <v>270.33269999999999</v>
      </c>
      <c r="X117" s="44"/>
    </row>
    <row r="118" spans="1:24">
      <c r="A118" s="46">
        <v>45496</v>
      </c>
      <c r="B118" s="44"/>
      <c r="C118" s="44">
        <v>100.62</v>
      </c>
      <c r="D118" s="44"/>
      <c r="E118" s="44">
        <v>58.93</v>
      </c>
      <c r="F118" s="44"/>
      <c r="G118" s="44">
        <v>177.7929</v>
      </c>
      <c r="H118" s="44"/>
      <c r="I118" s="44">
        <v>89.248900000000006</v>
      </c>
      <c r="J118" s="44"/>
      <c r="K118" s="44">
        <v>88.09</v>
      </c>
      <c r="L118" s="44"/>
      <c r="M118" s="44">
        <v>105.45</v>
      </c>
      <c r="N118" s="44"/>
      <c r="O118" s="44">
        <v>108.797</v>
      </c>
      <c r="P118" s="44"/>
      <c r="Q118" s="44">
        <v>172.4821</v>
      </c>
      <c r="R118" s="44"/>
      <c r="S118" s="44">
        <v>87.298400000000001</v>
      </c>
      <c r="T118" s="44"/>
      <c r="U118" s="44">
        <v>179.66499999999999</v>
      </c>
      <c r="V118" s="44"/>
      <c r="W118" s="44">
        <v>267.92930000000001</v>
      </c>
      <c r="X118" s="44"/>
    </row>
    <row r="119" spans="1:24">
      <c r="A119" s="46">
        <v>45497</v>
      </c>
      <c r="B119" s="44"/>
      <c r="C119" s="44">
        <v>101.42</v>
      </c>
      <c r="D119" s="44"/>
      <c r="E119" s="44">
        <v>58.86</v>
      </c>
      <c r="F119" s="44"/>
      <c r="G119" s="44">
        <v>180.22630000000001</v>
      </c>
      <c r="H119" s="44"/>
      <c r="I119" s="44">
        <v>89.185000000000002</v>
      </c>
      <c r="J119" s="44"/>
      <c r="K119" s="44">
        <v>88.97</v>
      </c>
      <c r="L119" s="44"/>
      <c r="M119" s="44">
        <v>105.73</v>
      </c>
      <c r="N119" s="44"/>
      <c r="O119" s="44">
        <v>108.806</v>
      </c>
      <c r="P119" s="44"/>
      <c r="Q119" s="44">
        <v>174.92779999999999</v>
      </c>
      <c r="R119" s="44"/>
      <c r="S119" s="44">
        <v>87.492800000000003</v>
      </c>
      <c r="T119" s="44"/>
      <c r="U119" s="44">
        <v>182.30340000000001</v>
      </c>
      <c r="V119" s="44"/>
      <c r="W119" s="44">
        <v>271.87270000000001</v>
      </c>
      <c r="X119" s="44"/>
    </row>
    <row r="120" spans="1:24">
      <c r="A120" s="46">
        <v>45498</v>
      </c>
      <c r="B120" s="44"/>
      <c r="C120" s="44">
        <v>101.42</v>
      </c>
      <c r="D120" s="44"/>
      <c r="E120" s="44">
        <v>58.93</v>
      </c>
      <c r="F120" s="44"/>
      <c r="G120" s="44">
        <v>179.58199999999999</v>
      </c>
      <c r="H120" s="44"/>
      <c r="I120" s="44">
        <v>89.288700000000006</v>
      </c>
      <c r="J120" s="44"/>
      <c r="K120" s="44">
        <v>89.07</v>
      </c>
      <c r="L120" s="44"/>
      <c r="M120" s="44">
        <v>105.99</v>
      </c>
      <c r="N120" s="44"/>
      <c r="O120" s="44">
        <v>108.599</v>
      </c>
      <c r="P120" s="44"/>
      <c r="Q120" s="44">
        <v>175.2534</v>
      </c>
      <c r="R120" s="44"/>
      <c r="S120" s="44">
        <v>87.463999999999999</v>
      </c>
      <c r="T120" s="44"/>
      <c r="U120" s="44">
        <v>182.3348</v>
      </c>
      <c r="V120" s="44"/>
      <c r="W120" s="44">
        <v>271.03890000000001</v>
      </c>
      <c r="X120" s="44"/>
    </row>
    <row r="121" spans="1:24">
      <c r="A121" s="46">
        <v>45499</v>
      </c>
      <c r="B121" s="44"/>
      <c r="C121" s="44">
        <v>102.75</v>
      </c>
      <c r="D121" s="44"/>
      <c r="E121" s="44">
        <v>59.81</v>
      </c>
      <c r="F121" s="44"/>
      <c r="G121" s="44">
        <v>181.05699999999999</v>
      </c>
      <c r="H121" s="44"/>
      <c r="I121" s="44">
        <v>90.766400000000004</v>
      </c>
      <c r="J121" s="44"/>
      <c r="K121" s="44">
        <v>89.87</v>
      </c>
      <c r="L121" s="44"/>
      <c r="M121" s="44">
        <v>107.5</v>
      </c>
      <c r="N121" s="44"/>
      <c r="O121" s="44">
        <v>110.452</v>
      </c>
      <c r="P121" s="44"/>
      <c r="Q121" s="44">
        <v>177.0504</v>
      </c>
      <c r="R121" s="44"/>
      <c r="S121" s="44">
        <v>88.889399999999995</v>
      </c>
      <c r="T121" s="44"/>
      <c r="U121" s="44">
        <v>183.78030000000001</v>
      </c>
      <c r="V121" s="44"/>
      <c r="W121" s="44">
        <v>274.1447</v>
      </c>
      <c r="X121" s="44"/>
    </row>
    <row r="122" spans="1:24">
      <c r="A122" s="46">
        <v>45500</v>
      </c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</row>
    <row r="123" spans="1:24">
      <c r="A123" s="46">
        <v>45501</v>
      </c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</row>
    <row r="124" spans="1:24">
      <c r="A124" s="46">
        <v>45502</v>
      </c>
      <c r="B124" s="44"/>
      <c r="C124" s="44">
        <v>103.93</v>
      </c>
      <c r="D124" s="44"/>
      <c r="E124" s="44">
        <v>59.92</v>
      </c>
      <c r="F124" s="44"/>
      <c r="G124" s="44">
        <v>183.5411</v>
      </c>
      <c r="H124" s="44"/>
      <c r="I124" s="44">
        <v>90.905100000000004</v>
      </c>
      <c r="J124" s="44"/>
      <c r="K124" s="44">
        <v>90.83</v>
      </c>
      <c r="L124" s="44"/>
      <c r="M124" s="44">
        <v>107.78</v>
      </c>
      <c r="N124" s="44"/>
      <c r="O124" s="44">
        <v>110.497</v>
      </c>
      <c r="P124" s="44"/>
      <c r="Q124" s="44">
        <v>179.06899999999999</v>
      </c>
      <c r="R124" s="44"/>
      <c r="S124" s="44">
        <v>89.039000000000001</v>
      </c>
      <c r="T124" s="44"/>
      <c r="U124" s="44">
        <v>185.2593</v>
      </c>
      <c r="V124" s="44"/>
      <c r="W124" s="44">
        <v>276.20580000000001</v>
      </c>
      <c r="X124" s="44"/>
    </row>
    <row r="125" spans="1:24">
      <c r="A125" s="46">
        <v>45503</v>
      </c>
      <c r="C125" s="45">
        <v>104.62</v>
      </c>
      <c r="E125" s="45">
        <v>59.85</v>
      </c>
      <c r="G125" s="45">
        <v>183.92089999999999</v>
      </c>
      <c r="I125" s="45">
        <v>90.873999999999995</v>
      </c>
      <c r="K125" s="45">
        <v>91.49</v>
      </c>
      <c r="M125" s="45">
        <v>107.95</v>
      </c>
      <c r="O125" s="45">
        <v>110.708</v>
      </c>
      <c r="Q125" s="45">
        <v>180.02459999999999</v>
      </c>
      <c r="S125" s="45">
        <v>89.214299999999994</v>
      </c>
      <c r="U125" s="45">
        <v>186.3141</v>
      </c>
      <c r="W125" s="45">
        <v>277.36470000000003</v>
      </c>
    </row>
    <row r="126" spans="1:24">
      <c r="A126" s="46">
        <v>45504</v>
      </c>
      <c r="C126" s="45">
        <v>104.5</v>
      </c>
      <c r="E126" s="45">
        <v>60</v>
      </c>
      <c r="G126" s="45">
        <v>183.69120000000001</v>
      </c>
      <c r="I126" s="45">
        <v>91.247900000000001</v>
      </c>
      <c r="K126" s="45">
        <v>91.54</v>
      </c>
      <c r="M126" s="45">
        <v>108.55</v>
      </c>
      <c r="O126" s="45">
        <v>111.188</v>
      </c>
      <c r="Q126" s="45">
        <v>180.02619999999999</v>
      </c>
      <c r="S126" s="45">
        <v>89.535499999999999</v>
      </c>
      <c r="U126" s="45">
        <v>186.32859999999999</v>
      </c>
      <c r="W126" s="45">
        <v>277.09890000000001</v>
      </c>
    </row>
    <row r="127" spans="1:24">
      <c r="A127" s="46">
        <v>45505</v>
      </c>
      <c r="C127" s="45">
        <v>103.95</v>
      </c>
      <c r="E127" s="45">
        <v>60.03</v>
      </c>
      <c r="G127" s="45">
        <v>183.1617</v>
      </c>
      <c r="I127" s="45">
        <v>91.0655</v>
      </c>
      <c r="K127" s="45">
        <v>91.1</v>
      </c>
      <c r="M127" s="45">
        <v>108.76</v>
      </c>
      <c r="O127" s="45">
        <v>111.14100000000001</v>
      </c>
      <c r="Q127" s="45">
        <v>178.9522</v>
      </c>
      <c r="S127" s="45">
        <v>89.671199999999999</v>
      </c>
      <c r="U127" s="45">
        <v>185.52019999999999</v>
      </c>
      <c r="W127" s="45">
        <v>275.62580000000003</v>
      </c>
    </row>
    <row r="128" spans="1:24">
      <c r="A128" s="46">
        <v>45506</v>
      </c>
      <c r="C128" s="45">
        <v>102.9</v>
      </c>
      <c r="E128" s="45">
        <v>59.61</v>
      </c>
      <c r="G128" s="45">
        <v>181.71469999999999</v>
      </c>
      <c r="I128" s="45">
        <v>89.997100000000003</v>
      </c>
      <c r="K128" s="45">
        <v>89.97</v>
      </c>
      <c r="M128" s="45">
        <v>107.3</v>
      </c>
      <c r="O128" s="45">
        <v>110.255</v>
      </c>
      <c r="Q128" s="45">
        <v>177.4897</v>
      </c>
      <c r="S128" s="45">
        <v>88.953599999999994</v>
      </c>
      <c r="U128" s="45">
        <v>183.7636</v>
      </c>
      <c r="W128" s="45">
        <v>273.92230000000001</v>
      </c>
    </row>
    <row r="129" spans="1:39">
      <c r="A129" s="46">
        <v>45507</v>
      </c>
    </row>
    <row r="130" spans="1:39">
      <c r="A130" s="46">
        <v>45508</v>
      </c>
    </row>
    <row r="131" spans="1:39">
      <c r="A131" s="46">
        <v>45509</v>
      </c>
      <c r="C131" s="45">
        <v>99.28</v>
      </c>
      <c r="E131" s="45">
        <v>58.13</v>
      </c>
      <c r="G131" s="45">
        <v>175.8484</v>
      </c>
      <c r="I131" s="45">
        <v>87.641900000000007</v>
      </c>
      <c r="K131" s="45">
        <v>86.99</v>
      </c>
      <c r="M131" s="45">
        <v>104.64</v>
      </c>
      <c r="O131" s="45">
        <v>107.218</v>
      </c>
      <c r="Q131" s="45">
        <v>171.0839</v>
      </c>
      <c r="S131" s="45">
        <v>86.506699999999995</v>
      </c>
      <c r="U131" s="45">
        <v>176.6901</v>
      </c>
      <c r="W131" s="45">
        <v>265.32690000000002</v>
      </c>
    </row>
    <row r="132" spans="1:39">
      <c r="A132" s="46">
        <v>45510</v>
      </c>
      <c r="C132" s="45">
        <v>98.87</v>
      </c>
      <c r="E132" s="45">
        <v>57.92</v>
      </c>
      <c r="G132" s="45">
        <v>175.35890000000001</v>
      </c>
      <c r="I132" s="45">
        <v>87.440200000000004</v>
      </c>
      <c r="K132" s="45">
        <v>86.66</v>
      </c>
      <c r="M132" s="45">
        <v>104.3</v>
      </c>
      <c r="O132" s="45">
        <v>106.82899999999999</v>
      </c>
      <c r="Q132" s="45">
        <v>170.703</v>
      </c>
      <c r="S132" s="45">
        <v>86.020700000000005</v>
      </c>
      <c r="U132" s="45">
        <v>176.70009999999999</v>
      </c>
      <c r="W132" s="45">
        <v>265.05239999999998</v>
      </c>
    </row>
    <row r="133" spans="1:39">
      <c r="A133" s="46">
        <v>45511</v>
      </c>
      <c r="C133" s="45">
        <v>100.49</v>
      </c>
      <c r="E133" s="45">
        <v>58.85</v>
      </c>
      <c r="G133" s="45">
        <v>177.9907</v>
      </c>
      <c r="I133" s="45">
        <v>88.576999999999998</v>
      </c>
      <c r="K133" s="45">
        <v>88.12</v>
      </c>
      <c r="M133" s="45">
        <v>105.95</v>
      </c>
      <c r="O133" s="45">
        <v>108.476</v>
      </c>
      <c r="Q133" s="45">
        <v>174.3065</v>
      </c>
      <c r="S133" s="45">
        <v>87.281800000000004</v>
      </c>
      <c r="U133" s="45">
        <v>179.9966</v>
      </c>
      <c r="W133" s="45">
        <v>270.84219999999999</v>
      </c>
    </row>
    <row r="134" spans="1:39">
      <c r="A134" s="46">
        <v>45512</v>
      </c>
      <c r="C134" s="49">
        <v>100.3</v>
      </c>
      <c r="E134" s="49">
        <v>58.49</v>
      </c>
      <c r="G134" s="49">
        <v>177.18360000000001</v>
      </c>
      <c r="I134" s="49">
        <v>87.989900000000006</v>
      </c>
      <c r="K134" s="49">
        <v>87.89</v>
      </c>
      <c r="M134" s="49">
        <v>105.18</v>
      </c>
      <c r="O134" s="49">
        <v>107.67700000000001</v>
      </c>
      <c r="Q134" s="49">
        <v>172.9573</v>
      </c>
      <c r="S134" s="49">
        <v>86.684799999999996</v>
      </c>
      <c r="U134" s="49">
        <v>178.43360000000001</v>
      </c>
      <c r="W134" s="49">
        <v>269.9622</v>
      </c>
    </row>
    <row r="135" spans="1:39">
      <c r="A135" s="46">
        <v>45513</v>
      </c>
      <c r="C135" s="45">
        <v>101.23</v>
      </c>
      <c r="E135" s="45">
        <v>59.03</v>
      </c>
      <c r="G135" s="45">
        <v>177.59960000000001</v>
      </c>
      <c r="I135" s="45">
        <v>88.707999999999998</v>
      </c>
      <c r="K135" s="45">
        <v>88.05</v>
      </c>
      <c r="M135" s="45">
        <v>106.08</v>
      </c>
      <c r="O135" s="45">
        <v>108.47199999999999</v>
      </c>
      <c r="Q135" s="45">
        <v>174.0744</v>
      </c>
      <c r="S135" s="45">
        <v>87.394800000000004</v>
      </c>
      <c r="U135" s="45">
        <v>179.45939999999999</v>
      </c>
      <c r="W135" s="45">
        <v>272.92180000000002</v>
      </c>
    </row>
    <row r="136" spans="1:39">
      <c r="A136" s="46">
        <v>45514</v>
      </c>
    </row>
    <row r="137" spans="1:39">
      <c r="A137" s="46">
        <v>45515</v>
      </c>
    </row>
    <row r="138" spans="1:39">
      <c r="A138" s="46">
        <v>45516</v>
      </c>
      <c r="C138" s="45">
        <v>101.31</v>
      </c>
      <c r="E138" s="45">
        <v>58.9</v>
      </c>
      <c r="G138" s="45">
        <v>178.11850000000001</v>
      </c>
      <c r="I138" s="45">
        <v>88.6631</v>
      </c>
      <c r="K138" s="45">
        <v>87.95</v>
      </c>
      <c r="M138" s="45">
        <v>106.18</v>
      </c>
      <c r="O138" s="45">
        <v>108.622</v>
      </c>
      <c r="Q138" s="45">
        <v>174.2527</v>
      </c>
      <c r="S138" s="45">
        <v>87.164000000000001</v>
      </c>
      <c r="U138" s="45">
        <v>179.9607</v>
      </c>
      <c r="W138" s="45">
        <v>272.80680000000001</v>
      </c>
      <c r="Y138" s="45">
        <v>47.35</v>
      </c>
      <c r="AA138" s="45">
        <v>16.38</v>
      </c>
      <c r="AC138" s="45">
        <v>43.26</v>
      </c>
      <c r="AE138" s="45">
        <v>83.32</v>
      </c>
      <c r="AG138" s="45">
        <v>25.470800000000001</v>
      </c>
      <c r="AI138" s="45">
        <v>40.683100000000003</v>
      </c>
      <c r="AK138" s="45">
        <v>44.122999999999998</v>
      </c>
      <c r="AM138" s="45">
        <v>74.700999999999993</v>
      </c>
    </row>
    <row r="139" spans="1:39">
      <c r="A139" s="46">
        <v>45517</v>
      </c>
      <c r="C139" s="45">
        <v>100.69</v>
      </c>
      <c r="E139" s="45">
        <v>58.39</v>
      </c>
      <c r="G139" s="45">
        <v>177.61699999999999</v>
      </c>
      <c r="I139" s="45">
        <v>88.084699999999998</v>
      </c>
      <c r="K139" s="45">
        <v>86.89</v>
      </c>
      <c r="M139" s="45">
        <v>105.43</v>
      </c>
      <c r="O139" s="45">
        <v>107.501</v>
      </c>
      <c r="Q139" s="45">
        <v>172.17910000000001</v>
      </c>
      <c r="S139" s="45">
        <v>86.185699999999997</v>
      </c>
      <c r="U139" s="45">
        <v>178.35140000000001</v>
      </c>
      <c r="W139" s="45">
        <v>269.30439999999999</v>
      </c>
      <c r="Y139" s="45">
        <v>46.84</v>
      </c>
      <c r="AA139" s="45">
        <v>16.18</v>
      </c>
      <c r="AC139" s="45">
        <v>43.09</v>
      </c>
      <c r="AE139" s="45">
        <v>82.56</v>
      </c>
      <c r="AG139" s="45">
        <v>25.0472</v>
      </c>
      <c r="AI139" s="45">
        <v>40.128100000000003</v>
      </c>
      <c r="AK139" s="45">
        <v>43.69</v>
      </c>
      <c r="AM139" s="45">
        <v>74.114999999999995</v>
      </c>
    </row>
    <row r="140" spans="1:39">
      <c r="A140" s="46">
        <v>45518</v>
      </c>
      <c r="C140" s="45">
        <v>100.63</v>
      </c>
      <c r="E140" s="45">
        <v>58.55</v>
      </c>
      <c r="G140" s="45">
        <v>176.6814</v>
      </c>
      <c r="I140" s="45">
        <v>88.162599999999998</v>
      </c>
      <c r="K140" s="45">
        <v>86.35</v>
      </c>
      <c r="M140" s="45">
        <v>105.29</v>
      </c>
      <c r="O140" s="45">
        <v>107.749</v>
      </c>
      <c r="Q140" s="45">
        <v>170.76779999999999</v>
      </c>
      <c r="S140" s="45">
        <v>86.197400000000002</v>
      </c>
      <c r="U140" s="45">
        <v>177.95419999999999</v>
      </c>
      <c r="W140" s="45">
        <v>266.87529999999998</v>
      </c>
      <c r="Y140" s="45">
        <v>46.69</v>
      </c>
      <c r="AA140" s="45">
        <v>16.18</v>
      </c>
      <c r="AC140" s="45">
        <v>42.94</v>
      </c>
      <c r="AE140" s="45">
        <v>82.66</v>
      </c>
      <c r="AG140" s="45">
        <v>24.986699999999999</v>
      </c>
      <c r="AI140" s="45">
        <v>39.874299999999998</v>
      </c>
      <c r="AK140" s="45">
        <v>43.695999999999998</v>
      </c>
      <c r="AM140" s="45">
        <v>74.167000000000002</v>
      </c>
    </row>
    <row r="141" spans="1:39">
      <c r="A141" s="46">
        <v>45519</v>
      </c>
    </row>
    <row r="142" spans="1:39">
      <c r="A142" s="46">
        <v>45520</v>
      </c>
      <c r="C142" s="45">
        <v>102.68</v>
      </c>
      <c r="E142" s="45">
        <v>59.5</v>
      </c>
      <c r="G142" s="45">
        <v>178.69309999999999</v>
      </c>
      <c r="I142" s="45">
        <v>89.561700000000002</v>
      </c>
      <c r="K142" s="45">
        <v>87.39</v>
      </c>
      <c r="M142" s="45">
        <v>106.71</v>
      </c>
      <c r="O142" s="45">
        <v>109.48699999999999</v>
      </c>
      <c r="Q142" s="45">
        <v>173.99619999999999</v>
      </c>
      <c r="S142" s="45">
        <v>87.549899999999994</v>
      </c>
      <c r="U142" s="45">
        <v>181.41139999999999</v>
      </c>
      <c r="W142" s="45">
        <v>270.43970000000002</v>
      </c>
      <c r="Y142" s="45">
        <v>47.48</v>
      </c>
      <c r="AA142" s="45">
        <v>16.440000000000001</v>
      </c>
      <c r="AC142" s="45">
        <v>43.661000000000001</v>
      </c>
      <c r="AE142" s="45">
        <v>84.05</v>
      </c>
      <c r="AG142" s="45">
        <v>25.4969</v>
      </c>
      <c r="AI142" s="45">
        <v>40.704700000000003</v>
      </c>
      <c r="AK142" s="45">
        <v>44.500999999999998</v>
      </c>
      <c r="AM142" s="45">
        <v>75.369</v>
      </c>
    </row>
    <row r="143" spans="1:39">
      <c r="A143" s="46">
        <v>45521</v>
      </c>
    </row>
    <row r="144" spans="1:39">
      <c r="A144" s="46">
        <v>45522</v>
      </c>
    </row>
    <row r="145" spans="1:39">
      <c r="A145" s="46">
        <v>45523</v>
      </c>
      <c r="C145" s="45">
        <v>103.39</v>
      </c>
      <c r="E145" s="45">
        <v>59.42</v>
      </c>
      <c r="G145" s="45">
        <v>179.78450000000001</v>
      </c>
      <c r="I145" s="45">
        <v>89.564599999999999</v>
      </c>
      <c r="K145" s="45">
        <v>88.02</v>
      </c>
      <c r="M145" s="45">
        <v>106.79</v>
      </c>
      <c r="O145" s="45">
        <v>109.61199999999999</v>
      </c>
      <c r="Q145" s="45">
        <v>175.25579999999999</v>
      </c>
      <c r="S145" s="45">
        <v>87.7072</v>
      </c>
      <c r="U145" s="45">
        <v>182.59209999999999</v>
      </c>
      <c r="W145" s="45">
        <v>274.05540000000002</v>
      </c>
      <c r="Y145" s="45">
        <v>47.98</v>
      </c>
      <c r="AA145" s="45">
        <v>16.510000000000002</v>
      </c>
      <c r="AC145" s="45">
        <v>43.905999999999999</v>
      </c>
      <c r="AE145" s="45">
        <v>84.14</v>
      </c>
      <c r="AG145" s="45">
        <v>25.896100000000001</v>
      </c>
      <c r="AI145" s="45">
        <v>40.945500000000003</v>
      </c>
      <c r="AK145" s="45">
        <v>45.106999999999999</v>
      </c>
      <c r="AM145" s="45">
        <v>75.742000000000004</v>
      </c>
    </row>
    <row r="146" spans="1:39">
      <c r="A146" s="46">
        <v>45524</v>
      </c>
      <c r="C146" s="45">
        <v>103.88</v>
      </c>
      <c r="E146" s="45">
        <v>59.75</v>
      </c>
      <c r="G146" s="45">
        <v>179.93510000000001</v>
      </c>
      <c r="I146" s="45">
        <v>90.192499999999995</v>
      </c>
      <c r="K146" s="45">
        <v>88.77</v>
      </c>
      <c r="M146" s="45">
        <v>107.46</v>
      </c>
      <c r="O146" s="45">
        <v>110.102</v>
      </c>
      <c r="Q146" s="45">
        <v>176.6148</v>
      </c>
      <c r="S146" s="45">
        <v>88.203299999999999</v>
      </c>
      <c r="U146" s="45">
        <v>183.49510000000001</v>
      </c>
      <c r="W146" s="45">
        <v>276.26600000000002</v>
      </c>
      <c r="Y146" s="45">
        <v>48.42</v>
      </c>
      <c r="AA146" s="45">
        <v>16.600000000000001</v>
      </c>
      <c r="AC146" s="45">
        <v>44.186999999999998</v>
      </c>
      <c r="AE146" s="45">
        <v>84.63</v>
      </c>
      <c r="AG146" s="45">
        <v>25.8889</v>
      </c>
      <c r="AI146" s="45">
        <v>41.319800000000001</v>
      </c>
      <c r="AK146" s="45">
        <v>45.465000000000003</v>
      </c>
      <c r="AM146" s="45">
        <v>76.274000000000001</v>
      </c>
    </row>
    <row r="147" spans="1:39">
      <c r="A147" s="46">
        <v>45525</v>
      </c>
      <c r="C147" s="45">
        <v>104.42</v>
      </c>
      <c r="E147" s="45">
        <v>59.82</v>
      </c>
      <c r="G147" s="45">
        <v>181.1747</v>
      </c>
      <c r="I147" s="45">
        <v>90.563900000000004</v>
      </c>
      <c r="K147" s="45">
        <v>89.53</v>
      </c>
      <c r="M147" s="45">
        <v>107.68</v>
      </c>
      <c r="O147" s="45">
        <v>110.503</v>
      </c>
      <c r="Q147" s="45">
        <v>178.24180000000001</v>
      </c>
      <c r="S147" s="45">
        <v>88.4</v>
      </c>
      <c r="U147" s="45">
        <v>184.72569999999999</v>
      </c>
      <c r="W147" s="45">
        <v>277.66950000000003</v>
      </c>
      <c r="Y147" s="45">
        <v>48.94</v>
      </c>
      <c r="AA147" s="45">
        <v>16.649999999999999</v>
      </c>
      <c r="AC147" s="45">
        <v>44.408999999999999</v>
      </c>
      <c r="AE147" s="45">
        <v>84.86</v>
      </c>
      <c r="AG147" s="45">
        <v>26.043700000000001</v>
      </c>
      <c r="AI147" s="45">
        <v>41.659300000000002</v>
      </c>
      <c r="AK147" s="45">
        <v>45.947000000000003</v>
      </c>
      <c r="AM147" s="45">
        <v>76.462000000000003</v>
      </c>
    </row>
    <row r="148" spans="1:39">
      <c r="A148" s="46">
        <v>45526</v>
      </c>
      <c r="C148" s="45">
        <v>104.76</v>
      </c>
      <c r="E148" s="45">
        <v>60.01</v>
      </c>
      <c r="G148" s="45">
        <v>181.56780000000001</v>
      </c>
      <c r="I148" s="45">
        <v>90.793199999999999</v>
      </c>
      <c r="K148" s="45">
        <v>89.72</v>
      </c>
      <c r="M148" s="45">
        <v>107.98</v>
      </c>
      <c r="O148" s="45">
        <v>110.807</v>
      </c>
      <c r="Q148" s="45">
        <v>178.82740000000001</v>
      </c>
      <c r="S148" s="45">
        <v>88.525400000000005</v>
      </c>
      <c r="U148" s="45">
        <v>185.1591</v>
      </c>
      <c r="W148" s="45">
        <v>278.08460000000002</v>
      </c>
      <c r="Y148" s="45">
        <v>49.22</v>
      </c>
      <c r="AA148" s="45">
        <v>16.68</v>
      </c>
      <c r="AC148" s="45">
        <v>44.682000000000002</v>
      </c>
      <c r="AE148" s="45">
        <v>85.13</v>
      </c>
      <c r="AG148" s="45">
        <v>26.148900000000001</v>
      </c>
      <c r="AI148" s="45">
        <v>42.092500000000001</v>
      </c>
      <c r="AK148" s="45">
        <v>46.155999999999999</v>
      </c>
      <c r="AM148" s="45">
        <v>77.066999999999993</v>
      </c>
    </row>
    <row r="149" spans="1:39">
      <c r="A149" s="46">
        <v>45527</v>
      </c>
      <c r="C149" s="45">
        <v>104.92</v>
      </c>
      <c r="E149" s="45">
        <v>60.13</v>
      </c>
      <c r="G149" s="45">
        <v>181.7807</v>
      </c>
      <c r="I149" s="45">
        <v>90.624499999999998</v>
      </c>
      <c r="K149" s="45">
        <v>89.7</v>
      </c>
      <c r="M149" s="45">
        <v>108.14</v>
      </c>
      <c r="O149" s="45">
        <v>110.732</v>
      </c>
      <c r="Q149" s="45">
        <v>179.15299999999999</v>
      </c>
      <c r="S149" s="45">
        <v>88.491399999999999</v>
      </c>
      <c r="U149" s="45">
        <v>184.15899999999999</v>
      </c>
      <c r="W149" s="45">
        <v>278.74590000000001</v>
      </c>
      <c r="Y149" s="45">
        <v>49.45</v>
      </c>
      <c r="AA149" s="45">
        <v>16.61</v>
      </c>
      <c r="AC149" s="45">
        <v>44.725000000000001</v>
      </c>
      <c r="AE149" s="45">
        <v>85.15</v>
      </c>
      <c r="AG149" s="45">
        <v>26.098600000000001</v>
      </c>
      <c r="AI149" s="45">
        <v>42.212400000000002</v>
      </c>
      <c r="AK149" s="45">
        <v>46.438000000000002</v>
      </c>
      <c r="AM149" s="45">
        <v>77.096999999999994</v>
      </c>
    </row>
    <row r="150" spans="1:39">
      <c r="A150" s="46">
        <v>45528</v>
      </c>
    </row>
    <row r="151" spans="1:39">
      <c r="A151" s="46">
        <v>45529</v>
      </c>
    </row>
    <row r="152" spans="1:39">
      <c r="A152" s="46">
        <v>45530</v>
      </c>
      <c r="C152" s="45">
        <v>105.42</v>
      </c>
      <c r="E152" s="45">
        <v>60.54</v>
      </c>
      <c r="G152" s="45">
        <v>182.11689999999999</v>
      </c>
      <c r="I152" s="45">
        <v>91.173199999999994</v>
      </c>
      <c r="K152" s="45">
        <v>90.34</v>
      </c>
      <c r="M152" s="45">
        <v>108.75</v>
      </c>
      <c r="O152" s="45">
        <v>111.435</v>
      </c>
      <c r="Q152" s="45">
        <v>179.29939999999999</v>
      </c>
      <c r="S152" s="45">
        <v>89.106700000000004</v>
      </c>
      <c r="U152" s="45">
        <v>184.6277</v>
      </c>
      <c r="W152" s="45">
        <v>279.06819999999999</v>
      </c>
      <c r="Y152" s="45">
        <v>49.3</v>
      </c>
      <c r="AA152" s="45">
        <v>16.68</v>
      </c>
      <c r="AC152" s="45">
        <v>44.691000000000003</v>
      </c>
      <c r="AE152" s="45">
        <v>85.75</v>
      </c>
      <c r="AG152" s="45">
        <v>26.1692</v>
      </c>
      <c r="AI152" s="45">
        <v>42.255499999999998</v>
      </c>
      <c r="AK152" s="45">
        <v>46.591999999999999</v>
      </c>
      <c r="AM152" s="45">
        <v>77.412000000000006</v>
      </c>
    </row>
    <row r="153" spans="1:39">
      <c r="A153" s="46">
        <v>45531</v>
      </c>
      <c r="C153" s="45">
        <v>105.74</v>
      </c>
      <c r="E153" s="45">
        <v>60.68</v>
      </c>
      <c r="G153" s="45">
        <v>182.73230000000001</v>
      </c>
      <c r="I153" s="45">
        <v>91.333299999999994</v>
      </c>
      <c r="K153" s="45">
        <v>90.9</v>
      </c>
      <c r="M153" s="45">
        <v>109.13</v>
      </c>
      <c r="O153" s="45">
        <v>111.867</v>
      </c>
      <c r="Q153" s="45">
        <v>180.37880000000001</v>
      </c>
      <c r="S153" s="45">
        <v>89.328400000000002</v>
      </c>
      <c r="U153" s="45">
        <v>185.82490000000001</v>
      </c>
      <c r="W153" s="45">
        <v>279.42250000000001</v>
      </c>
      <c r="Y153" s="45">
        <v>49.51</v>
      </c>
      <c r="AA153" s="45">
        <v>16.739999999999998</v>
      </c>
      <c r="AC153" s="45">
        <v>44.792000000000002</v>
      </c>
      <c r="AE153" s="45">
        <v>85.94</v>
      </c>
      <c r="AG153" s="45">
        <v>26.3553</v>
      </c>
      <c r="AI153" s="45">
        <v>42.47</v>
      </c>
      <c r="AK153" s="45">
        <v>46.857999999999997</v>
      </c>
      <c r="AM153" s="45">
        <v>77.456000000000003</v>
      </c>
    </row>
    <row r="154" spans="1:39">
      <c r="A154" s="46">
        <v>45532</v>
      </c>
      <c r="C154" s="45">
        <v>105.71</v>
      </c>
      <c r="E154" s="45">
        <v>60.86</v>
      </c>
      <c r="G154" s="45">
        <v>183.0872</v>
      </c>
      <c r="I154" s="45">
        <v>91.386300000000006</v>
      </c>
      <c r="K154" s="45">
        <v>90.75</v>
      </c>
      <c r="M154" s="45">
        <v>109.27</v>
      </c>
      <c r="O154" s="45">
        <v>111.886</v>
      </c>
      <c r="Q154" s="45">
        <v>179.613</v>
      </c>
      <c r="S154" s="45">
        <v>89.239699999999999</v>
      </c>
      <c r="U154" s="45">
        <v>185.33199999999999</v>
      </c>
      <c r="W154" s="45">
        <v>278.2704</v>
      </c>
      <c r="Y154" s="45">
        <v>49.46</v>
      </c>
      <c r="AA154" s="45">
        <v>16.72</v>
      </c>
      <c r="AC154" s="45">
        <v>44.936</v>
      </c>
      <c r="AE154" s="45">
        <v>86.08</v>
      </c>
      <c r="AG154" s="45">
        <v>26.2456</v>
      </c>
      <c r="AI154" s="45">
        <v>42.331600000000002</v>
      </c>
      <c r="AK154" s="45">
        <v>46.918999999999997</v>
      </c>
      <c r="AM154" s="45">
        <v>77.64</v>
      </c>
    </row>
    <row r="155" spans="1:39">
      <c r="A155" s="46">
        <v>45533</v>
      </c>
      <c r="C155" s="45">
        <v>105.2</v>
      </c>
      <c r="E155" s="45">
        <v>61.05</v>
      </c>
      <c r="G155" s="45">
        <v>182.33510000000001</v>
      </c>
      <c r="I155" s="45">
        <v>91.459100000000007</v>
      </c>
      <c r="K155" s="45">
        <v>90.69</v>
      </c>
      <c r="M155" s="45">
        <v>109.47</v>
      </c>
      <c r="O155" s="45">
        <v>112.07299999999999</v>
      </c>
      <c r="Q155" s="45">
        <v>178.5471</v>
      </c>
      <c r="S155" s="45">
        <v>89.3583</v>
      </c>
      <c r="U155" s="45">
        <v>184.35990000000001</v>
      </c>
      <c r="W155" s="45">
        <v>277.54689999999999</v>
      </c>
      <c r="Y155" s="45">
        <v>48.96</v>
      </c>
      <c r="AA155" s="45">
        <v>16.71</v>
      </c>
      <c r="AC155" s="45">
        <v>44.854999999999997</v>
      </c>
      <c r="AE155" s="45">
        <v>86.32</v>
      </c>
      <c r="AG155" s="45">
        <v>26.134599999999999</v>
      </c>
      <c r="AI155" s="45">
        <v>42.107700000000001</v>
      </c>
      <c r="AK155" s="45">
        <v>46.667999999999999</v>
      </c>
      <c r="AM155" s="45">
        <v>77.531999999999996</v>
      </c>
    </row>
    <row r="156" spans="1:39">
      <c r="A156" s="46">
        <v>45534</v>
      </c>
      <c r="C156" s="45">
        <v>105.64</v>
      </c>
      <c r="E156" s="45">
        <v>61.32</v>
      </c>
      <c r="G156" s="45">
        <v>183.5341</v>
      </c>
      <c r="I156" s="45">
        <v>91.883499999999998</v>
      </c>
      <c r="K156" s="45">
        <v>91.1</v>
      </c>
      <c r="M156" s="45">
        <v>109.93</v>
      </c>
      <c r="O156" s="45">
        <v>112.643</v>
      </c>
      <c r="Q156" s="45">
        <v>180.06139999999999</v>
      </c>
      <c r="S156" s="45">
        <v>89.796000000000006</v>
      </c>
      <c r="U156" s="45">
        <v>185.56219999999999</v>
      </c>
      <c r="W156" s="45">
        <v>278.59219999999999</v>
      </c>
      <c r="Y156" s="45">
        <v>49.36</v>
      </c>
      <c r="AA156" s="45">
        <v>16.75</v>
      </c>
      <c r="AC156" s="45">
        <v>45.173999999999999</v>
      </c>
      <c r="AE156" s="45">
        <v>86.79</v>
      </c>
      <c r="AG156" s="45">
        <v>26.351700000000001</v>
      </c>
      <c r="AI156" s="45">
        <v>42.3202</v>
      </c>
      <c r="AK156" s="45">
        <v>47.137</v>
      </c>
      <c r="AM156" s="45">
        <v>77.837000000000003</v>
      </c>
    </row>
    <row r="157" spans="1:39">
      <c r="A157" s="46">
        <v>45535</v>
      </c>
      <c r="C157" s="45">
        <v>105.64</v>
      </c>
      <c r="E157" s="45">
        <v>61.32</v>
      </c>
      <c r="G157" s="45">
        <v>183.52930000000001</v>
      </c>
      <c r="I157" s="45">
        <v>91.880600000000001</v>
      </c>
      <c r="AK157" s="45">
        <v>47.136000000000003</v>
      </c>
      <c r="AM157" s="45">
        <v>77.832999999999998</v>
      </c>
    </row>
    <row r="158" spans="1:39">
      <c r="A158" s="46">
        <v>45536</v>
      </c>
    </row>
    <row r="159" spans="1:39">
      <c r="A159" s="46">
        <v>45537</v>
      </c>
      <c r="C159" s="45">
        <v>105.45</v>
      </c>
      <c r="E159" s="45">
        <v>61.39</v>
      </c>
      <c r="G159" s="45">
        <v>183.4271</v>
      </c>
      <c r="I159" s="45">
        <v>91.903400000000005</v>
      </c>
      <c r="K159" s="45">
        <v>91.52</v>
      </c>
      <c r="M159" s="45">
        <v>110.03</v>
      </c>
      <c r="O159" s="45">
        <v>112.86</v>
      </c>
      <c r="Q159" s="45">
        <v>179.45400000000001</v>
      </c>
      <c r="S159" s="45">
        <v>89.900499999999994</v>
      </c>
      <c r="U159" s="45">
        <v>185.60300000000001</v>
      </c>
      <c r="W159" s="45">
        <v>280.55489999999998</v>
      </c>
      <c r="Y159" s="45">
        <v>49.12</v>
      </c>
      <c r="AA159" s="45">
        <v>16.77</v>
      </c>
      <c r="AC159" s="45">
        <v>45.140999999999998</v>
      </c>
      <c r="AE159" s="45">
        <v>86.73</v>
      </c>
      <c r="AG159" s="45">
        <v>26.3172</v>
      </c>
      <c r="AI159" s="45">
        <v>42.316899999999997</v>
      </c>
      <c r="AK159" s="45">
        <v>47.000999999999998</v>
      </c>
      <c r="AM159" s="45">
        <v>77.887</v>
      </c>
    </row>
    <row r="160" spans="1:39">
      <c r="A160" s="46">
        <v>45538</v>
      </c>
      <c r="C160" s="45">
        <v>105.98</v>
      </c>
      <c r="E160" s="45">
        <v>61.38</v>
      </c>
      <c r="G160" s="45">
        <v>184.17949999999999</v>
      </c>
      <c r="I160" s="45">
        <v>91.970100000000002</v>
      </c>
      <c r="K160" s="45">
        <v>92.09</v>
      </c>
      <c r="M160" s="45">
        <v>110.16</v>
      </c>
      <c r="O160" s="45">
        <v>112.991</v>
      </c>
      <c r="Q160" s="45">
        <v>180.2132</v>
      </c>
      <c r="S160" s="45">
        <v>90.040800000000004</v>
      </c>
      <c r="U160" s="45">
        <v>186.61259999999999</v>
      </c>
      <c r="W160" s="45">
        <v>282.29489999999998</v>
      </c>
      <c r="Y160" s="45">
        <v>49.52</v>
      </c>
      <c r="AA160" s="45">
        <v>16.82</v>
      </c>
      <c r="AC160" s="45">
        <v>45.292000000000002</v>
      </c>
      <c r="AE160" s="45">
        <v>86.74</v>
      </c>
      <c r="AG160" s="45">
        <v>26.485800000000001</v>
      </c>
      <c r="AI160" s="45">
        <v>42.706499999999998</v>
      </c>
      <c r="AK160" s="45">
        <v>47.374000000000002</v>
      </c>
      <c r="AM160" s="45">
        <v>77.942999999999998</v>
      </c>
    </row>
    <row r="161" spans="1:41">
      <c r="A161" s="46">
        <v>45539</v>
      </c>
      <c r="C161" s="45">
        <v>106.46</v>
      </c>
      <c r="E161" s="45">
        <v>61.3</v>
      </c>
      <c r="G161" s="45">
        <v>183.93989999999999</v>
      </c>
      <c r="I161" s="45">
        <v>91.815600000000003</v>
      </c>
      <c r="K161" s="45">
        <v>92.27</v>
      </c>
      <c r="M161" s="45">
        <v>109.98</v>
      </c>
      <c r="O161" s="45">
        <v>112.81699999999999</v>
      </c>
      <c r="Q161" s="45">
        <v>180.291</v>
      </c>
      <c r="S161" s="45">
        <v>89.610699999999994</v>
      </c>
      <c r="U161" s="45">
        <v>186.86250000000001</v>
      </c>
      <c r="W161" s="45">
        <v>282.53879999999998</v>
      </c>
      <c r="Y161" s="45">
        <v>49.64</v>
      </c>
      <c r="AA161" s="45">
        <v>16.809999999999999</v>
      </c>
      <c r="AC161" s="45">
        <v>45.372999999999998</v>
      </c>
      <c r="AE161" s="45">
        <v>86.53</v>
      </c>
      <c r="AG161" s="45">
        <v>26.514099999999999</v>
      </c>
      <c r="AI161" s="45">
        <v>42.763300000000001</v>
      </c>
      <c r="AK161" s="45">
        <v>47.476999999999997</v>
      </c>
      <c r="AM161" s="45">
        <v>77.930000000000007</v>
      </c>
    </row>
    <row r="162" spans="1:41">
      <c r="A162" s="46">
        <v>45540</v>
      </c>
      <c r="C162" s="45">
        <v>107.14</v>
      </c>
      <c r="E162" s="45">
        <v>61.38</v>
      </c>
      <c r="G162" s="45">
        <v>184.97370000000001</v>
      </c>
      <c r="I162" s="45">
        <v>91.851799999999997</v>
      </c>
      <c r="K162" s="45">
        <v>92.7</v>
      </c>
      <c r="M162" s="45">
        <v>109.78</v>
      </c>
      <c r="O162" s="45">
        <v>113.01900000000001</v>
      </c>
      <c r="Q162" s="45">
        <v>181.14760000000001</v>
      </c>
      <c r="S162" s="45">
        <v>89.744100000000003</v>
      </c>
      <c r="U162" s="45">
        <v>187.2106</v>
      </c>
      <c r="W162" s="45">
        <v>283.46730000000002</v>
      </c>
      <c r="Y162" s="45">
        <v>50.06</v>
      </c>
      <c r="AA162" s="45">
        <v>16.809999999999999</v>
      </c>
      <c r="AC162" s="45">
        <v>45.703000000000003</v>
      </c>
      <c r="AE162" s="45">
        <v>86.32</v>
      </c>
      <c r="AG162" s="45">
        <v>26.968900000000001</v>
      </c>
      <c r="AI162" s="45">
        <v>43.127800000000001</v>
      </c>
      <c r="AK162" s="45">
        <v>47.792000000000002</v>
      </c>
      <c r="AM162" s="45">
        <v>78.004000000000005</v>
      </c>
    </row>
    <row r="163" spans="1:41">
      <c r="A163" s="46">
        <v>45541</v>
      </c>
      <c r="C163" s="45">
        <v>106.74</v>
      </c>
      <c r="E163" s="45">
        <v>60.84</v>
      </c>
      <c r="G163" s="45">
        <v>184.45670000000001</v>
      </c>
      <c r="I163" s="45">
        <v>90.816299999999998</v>
      </c>
      <c r="K163" s="45">
        <v>92.04</v>
      </c>
      <c r="M163" s="45">
        <v>108.54</v>
      </c>
      <c r="O163" s="49">
        <v>111.682</v>
      </c>
      <c r="Q163" s="80">
        <v>179.7253</v>
      </c>
      <c r="S163" s="45">
        <v>88.584999999999994</v>
      </c>
      <c r="U163" s="45">
        <v>185.92179999999999</v>
      </c>
      <c r="W163" s="45">
        <v>280.59660000000002</v>
      </c>
      <c r="Y163" s="49">
        <v>49.6</v>
      </c>
      <c r="AA163" s="49">
        <v>16.62</v>
      </c>
      <c r="AC163" s="49">
        <v>45.204000000000001</v>
      </c>
      <c r="AE163" s="49">
        <v>85.39</v>
      </c>
      <c r="AG163" s="49">
        <v>26.757000000000001</v>
      </c>
      <c r="AI163" s="49">
        <v>42.861899999999999</v>
      </c>
      <c r="AK163" s="49">
        <v>47.302</v>
      </c>
      <c r="AM163" s="49">
        <v>77.238</v>
      </c>
    </row>
    <row r="164" spans="1:41">
      <c r="A164" s="46">
        <v>45542</v>
      </c>
    </row>
    <row r="165" spans="1:41">
      <c r="A165" s="46">
        <v>45543</v>
      </c>
    </row>
    <row r="166" spans="1:41">
      <c r="A166" s="46">
        <v>45544</v>
      </c>
      <c r="C166" s="49">
        <v>106.29</v>
      </c>
      <c r="E166" s="49">
        <v>61.12</v>
      </c>
      <c r="G166" s="49">
        <v>183.74459999999999</v>
      </c>
      <c r="I166" s="49">
        <v>91.166899999999998</v>
      </c>
      <c r="K166" s="49">
        <v>91.49</v>
      </c>
      <c r="M166" s="49">
        <v>108.74</v>
      </c>
      <c r="O166" s="49">
        <v>112.09399999999999</v>
      </c>
      <c r="Q166" s="49">
        <v>178.7433</v>
      </c>
      <c r="S166" s="49">
        <v>88.932000000000002</v>
      </c>
      <c r="U166" s="49">
        <v>185.09829999999999</v>
      </c>
      <c r="W166" s="49">
        <v>279.76490000000001</v>
      </c>
      <c r="Y166" s="45">
        <v>49.19</v>
      </c>
      <c r="AA166" s="45">
        <v>16.57</v>
      </c>
      <c r="AC166" s="45">
        <v>44.77</v>
      </c>
      <c r="AE166" s="45">
        <v>85.62</v>
      </c>
      <c r="AG166" s="45">
        <v>26.564499999999999</v>
      </c>
      <c r="AI166" s="45">
        <v>42.692799999999998</v>
      </c>
      <c r="AK166" s="45">
        <v>47.017000000000003</v>
      </c>
      <c r="AM166" s="45">
        <v>77.641000000000005</v>
      </c>
    </row>
    <row r="167" spans="1:41">
      <c r="A167" s="46">
        <v>45545</v>
      </c>
      <c r="C167" s="45">
        <v>107.25</v>
      </c>
      <c r="E167" s="45">
        <v>61.32</v>
      </c>
      <c r="G167" s="45">
        <v>186.4922</v>
      </c>
      <c r="I167" s="45">
        <v>91.476500000000001</v>
      </c>
      <c r="K167" s="45">
        <v>92.29</v>
      </c>
      <c r="M167" s="45">
        <v>109.1</v>
      </c>
      <c r="O167" s="45">
        <v>112.717</v>
      </c>
      <c r="Q167" s="45">
        <v>180.5478</v>
      </c>
      <c r="S167" s="45">
        <v>89.620099999999994</v>
      </c>
      <c r="U167" s="45">
        <v>187.09270000000001</v>
      </c>
      <c r="W167" s="45">
        <v>282.60379999999998</v>
      </c>
      <c r="Y167" s="45">
        <v>49.84</v>
      </c>
      <c r="AA167" s="45">
        <v>16.62</v>
      </c>
      <c r="AC167" s="45">
        <v>45.351999999999997</v>
      </c>
      <c r="AE167" s="45">
        <v>85.86</v>
      </c>
      <c r="AG167" s="45">
        <v>26.797799999999999</v>
      </c>
      <c r="AI167" s="45">
        <v>43.164499999999997</v>
      </c>
      <c r="AK167" s="45">
        <v>47.524000000000001</v>
      </c>
      <c r="AM167" s="45">
        <v>78.081999999999994</v>
      </c>
    </row>
    <row r="168" spans="1:41">
      <c r="A168" s="46">
        <v>45546</v>
      </c>
      <c r="C168" s="45">
        <v>106.66</v>
      </c>
      <c r="E168" s="45">
        <v>61.23</v>
      </c>
      <c r="G168" s="45">
        <v>184.96960000000001</v>
      </c>
      <c r="I168" s="45">
        <v>91.297600000000003</v>
      </c>
      <c r="K168" s="45">
        <v>92.01</v>
      </c>
      <c r="M168" s="45">
        <v>108.65</v>
      </c>
      <c r="O168" s="45">
        <v>112.251</v>
      </c>
      <c r="Q168" s="45">
        <v>179.72829999999999</v>
      </c>
      <c r="S168" s="45">
        <v>89.2029</v>
      </c>
      <c r="U168" s="45">
        <v>185.761</v>
      </c>
      <c r="W168" s="45">
        <v>280.37650000000002</v>
      </c>
      <c r="Y168" s="45">
        <v>49.73</v>
      </c>
      <c r="AA168" s="45">
        <v>16.52</v>
      </c>
      <c r="AC168" s="45">
        <v>45.024999999999999</v>
      </c>
      <c r="AE168" s="45">
        <v>85.47</v>
      </c>
      <c r="AG168" s="45">
        <v>26.607700000000001</v>
      </c>
      <c r="AI168" s="45">
        <v>42.881900000000002</v>
      </c>
      <c r="AK168" s="45">
        <v>47.421999999999997</v>
      </c>
      <c r="AM168" s="45">
        <v>77.853999999999999</v>
      </c>
    </row>
    <row r="169" spans="1:41">
      <c r="A169" s="46">
        <v>45547</v>
      </c>
      <c r="C169" s="45">
        <v>107.67</v>
      </c>
      <c r="E169" s="45">
        <v>62.23</v>
      </c>
      <c r="G169" s="45">
        <v>185.99760000000001</v>
      </c>
      <c r="I169" s="45">
        <v>92.9041</v>
      </c>
      <c r="K169" s="45">
        <v>92.51</v>
      </c>
      <c r="M169" s="45">
        <v>110.4</v>
      </c>
      <c r="O169" s="45">
        <v>114.095</v>
      </c>
      <c r="Q169" s="45">
        <v>181.2681</v>
      </c>
      <c r="S169" s="45">
        <v>90.523799999999994</v>
      </c>
      <c r="U169" s="45">
        <v>187.0642</v>
      </c>
      <c r="W169" s="45">
        <v>282.21379999999999</v>
      </c>
      <c r="Y169" s="45">
        <v>50.19</v>
      </c>
      <c r="AA169" s="45">
        <v>16.78</v>
      </c>
      <c r="AC169" s="45">
        <v>45.314999999999998</v>
      </c>
      <c r="AE169" s="45">
        <v>86.86</v>
      </c>
      <c r="AG169" s="45">
        <v>26.754100000000001</v>
      </c>
      <c r="AI169" s="45">
        <v>43.067100000000003</v>
      </c>
      <c r="AK169" s="45">
        <v>47.843000000000004</v>
      </c>
      <c r="AM169" s="45">
        <v>79.147000000000006</v>
      </c>
      <c r="AO169" s="45">
        <v>143.20400000000001</v>
      </c>
    </row>
    <row r="170" spans="1:41">
      <c r="A170" s="46">
        <v>45548</v>
      </c>
      <c r="C170" s="45">
        <v>108.36</v>
      </c>
      <c r="E170" s="45">
        <v>62.11</v>
      </c>
      <c r="G170" s="45">
        <v>187.22370000000001</v>
      </c>
      <c r="I170" s="45">
        <v>92.9452</v>
      </c>
      <c r="K170" s="45">
        <v>92.7</v>
      </c>
      <c r="M170" s="45">
        <v>110.25</v>
      </c>
      <c r="O170" s="45">
        <v>114.063</v>
      </c>
      <c r="Q170" s="45">
        <v>182.06620000000001</v>
      </c>
      <c r="S170" s="45">
        <v>90.387500000000003</v>
      </c>
      <c r="U170" s="45">
        <v>188.0453</v>
      </c>
      <c r="W170" s="45">
        <v>282.99439999999998</v>
      </c>
      <c r="Y170" s="45">
        <v>50.66</v>
      </c>
      <c r="AA170" s="45">
        <v>16.8</v>
      </c>
      <c r="AC170" s="45">
        <v>45.744999999999997</v>
      </c>
      <c r="AE170" s="45">
        <v>86.8</v>
      </c>
      <c r="AG170" s="45">
        <v>26.920200000000001</v>
      </c>
      <c r="AI170" s="45">
        <v>43.497500000000002</v>
      </c>
      <c r="AK170" s="45">
        <v>48.183</v>
      </c>
      <c r="AM170" s="45">
        <v>79.212999999999994</v>
      </c>
      <c r="AO170" s="45">
        <v>143.959</v>
      </c>
    </row>
    <row r="171" spans="1:41">
      <c r="A171" s="46">
        <v>45549</v>
      </c>
    </row>
    <row r="172" spans="1:41">
      <c r="A172" s="46">
        <v>45550</v>
      </c>
    </row>
    <row r="173" spans="1:41">
      <c r="A173" s="46">
        <v>45551</v>
      </c>
      <c r="C173" s="45">
        <v>108.94</v>
      </c>
      <c r="E173" s="45">
        <v>62.13</v>
      </c>
      <c r="G173" s="45">
        <v>187.59280000000001</v>
      </c>
      <c r="I173" s="45">
        <v>93.021199999999993</v>
      </c>
      <c r="K173" s="45">
        <v>92.64</v>
      </c>
      <c r="M173" s="45">
        <v>110.52</v>
      </c>
      <c r="O173" s="45">
        <v>114.294</v>
      </c>
      <c r="Q173" s="45">
        <v>182.3184</v>
      </c>
      <c r="S173" s="45">
        <v>90.403400000000005</v>
      </c>
      <c r="U173" s="45">
        <v>187.35919999999999</v>
      </c>
      <c r="W173" s="45">
        <v>282.62889999999999</v>
      </c>
      <c r="Y173" s="45">
        <v>50.58</v>
      </c>
      <c r="AA173" s="45">
        <v>16.77</v>
      </c>
      <c r="AC173" s="45">
        <v>45.921999999999997</v>
      </c>
      <c r="AE173" s="45">
        <v>87.22</v>
      </c>
      <c r="AG173" s="45">
        <v>26.951799999999999</v>
      </c>
      <c r="AI173" s="45">
        <v>43.508400000000002</v>
      </c>
      <c r="AK173" s="45">
        <v>48.45</v>
      </c>
      <c r="AM173" s="45">
        <v>79.093000000000004</v>
      </c>
      <c r="AO173" s="45">
        <v>143.822</v>
      </c>
    </row>
    <row r="174" spans="1:41">
      <c r="A174" s="46">
        <v>45552</v>
      </c>
      <c r="C174" s="45">
        <v>109.44</v>
      </c>
      <c r="E174" s="45">
        <v>62.23</v>
      </c>
      <c r="G174" s="45">
        <v>187.3708</v>
      </c>
      <c r="I174" s="45">
        <v>93.263400000000004</v>
      </c>
      <c r="K174" s="45">
        <v>92.53</v>
      </c>
      <c r="M174" s="45">
        <v>110.75</v>
      </c>
      <c r="O174" s="45">
        <v>114.354</v>
      </c>
      <c r="Q174" s="45">
        <v>182.2303</v>
      </c>
      <c r="S174" s="45">
        <v>90.357200000000006</v>
      </c>
      <c r="U174" s="45">
        <v>187.40180000000001</v>
      </c>
      <c r="W174" s="45">
        <v>282.3766</v>
      </c>
      <c r="Y174" s="45">
        <v>50.53</v>
      </c>
      <c r="AA174" s="45">
        <v>16.77</v>
      </c>
      <c r="AC174" s="45">
        <v>45.984999999999999</v>
      </c>
      <c r="AE174" s="45">
        <v>87.52</v>
      </c>
      <c r="AG174" s="45">
        <v>26.950500000000002</v>
      </c>
      <c r="AI174" s="45">
        <v>43.799300000000002</v>
      </c>
      <c r="AK174" s="45">
        <v>48.534999999999997</v>
      </c>
      <c r="AM174" s="45">
        <v>79.277000000000001</v>
      </c>
      <c r="AO174" s="45">
        <v>143.71100000000001</v>
      </c>
    </row>
    <row r="175" spans="1:41">
      <c r="A175" s="46">
        <v>45553</v>
      </c>
      <c r="C175" s="45">
        <v>109.13</v>
      </c>
      <c r="E175" s="45">
        <v>62.19</v>
      </c>
      <c r="G175" s="45">
        <v>186.773</v>
      </c>
      <c r="I175" s="45">
        <v>93.126000000000005</v>
      </c>
      <c r="K175" s="45">
        <v>92.09</v>
      </c>
      <c r="M175" s="45">
        <v>110.54</v>
      </c>
      <c r="O175" s="45">
        <v>114.211</v>
      </c>
      <c r="Q175" s="45">
        <v>181.4633</v>
      </c>
      <c r="S175" s="45">
        <v>90.267099999999999</v>
      </c>
      <c r="U175" s="45">
        <v>186.2432</v>
      </c>
      <c r="W175" s="45">
        <v>281.85449999999997</v>
      </c>
      <c r="Y175" s="45">
        <v>50.45</v>
      </c>
      <c r="AA175" s="45">
        <v>16.72</v>
      </c>
      <c r="AC175" s="45">
        <v>45.905000000000001</v>
      </c>
      <c r="AE175" s="45">
        <v>87.2</v>
      </c>
      <c r="AG175" s="45">
        <v>26.780100000000001</v>
      </c>
      <c r="AI175" s="45">
        <v>43.535200000000003</v>
      </c>
      <c r="AK175" s="45">
        <v>48.317999999999998</v>
      </c>
      <c r="AM175" s="45">
        <v>78.977000000000004</v>
      </c>
      <c r="AO175" s="45">
        <v>142.37700000000001</v>
      </c>
    </row>
    <row r="176" spans="1:41">
      <c r="A176" s="46">
        <v>45554</v>
      </c>
      <c r="C176" s="45">
        <v>108.57</v>
      </c>
      <c r="E176" s="45">
        <v>62.37</v>
      </c>
      <c r="G176" s="45">
        <v>185.96979999999999</v>
      </c>
      <c r="I176" s="45">
        <v>93.271600000000007</v>
      </c>
      <c r="K176" s="45">
        <v>91.43</v>
      </c>
      <c r="M176" s="45">
        <v>110.59</v>
      </c>
      <c r="O176" s="45">
        <v>114.236</v>
      </c>
      <c r="Q176" s="45">
        <v>180.04939999999999</v>
      </c>
      <c r="S176" s="45">
        <v>90.1892</v>
      </c>
      <c r="U176" s="45">
        <v>184.8877</v>
      </c>
      <c r="W176" s="45">
        <v>279.49959999999999</v>
      </c>
      <c r="Y176" s="45">
        <v>49.76</v>
      </c>
      <c r="AA176" s="45">
        <v>16.690000000000001</v>
      </c>
      <c r="AC176" s="45">
        <v>45.683</v>
      </c>
      <c r="AE176" s="45">
        <v>87.12</v>
      </c>
      <c r="AG176" s="45">
        <v>26.5518</v>
      </c>
      <c r="AI176" s="45">
        <v>43.279899999999998</v>
      </c>
      <c r="AK176" s="45">
        <v>47.728000000000002</v>
      </c>
      <c r="AM176" s="45">
        <v>79.135000000000005</v>
      </c>
      <c r="AO176" s="45">
        <v>141.483</v>
      </c>
    </row>
    <row r="177" spans="1:41">
      <c r="A177" s="46">
        <v>45555</v>
      </c>
      <c r="C177" s="45">
        <v>110.15</v>
      </c>
      <c r="E177" s="45">
        <v>63.25</v>
      </c>
      <c r="G177" s="45">
        <v>186.6559</v>
      </c>
      <c r="I177" s="45">
        <v>94.790899999999993</v>
      </c>
      <c r="K177" s="45">
        <v>91.8</v>
      </c>
      <c r="M177" s="45">
        <v>112.12</v>
      </c>
      <c r="O177" s="45">
        <v>115.73399999999999</v>
      </c>
      <c r="Q177" s="45">
        <v>181.57769999999999</v>
      </c>
      <c r="S177" s="45">
        <v>91.158199999999994</v>
      </c>
      <c r="U177" s="45">
        <v>186.56630000000001</v>
      </c>
      <c r="W177" s="45">
        <v>281.21780000000001</v>
      </c>
      <c r="Y177" s="45">
        <v>50.36</v>
      </c>
      <c r="AA177" s="45">
        <v>16.89</v>
      </c>
      <c r="AC177" s="45">
        <v>46.316000000000003</v>
      </c>
      <c r="AE177" s="45">
        <v>88.28</v>
      </c>
      <c r="AG177" s="45">
        <v>26.88</v>
      </c>
      <c r="AI177" s="45">
        <v>43.644799999999996</v>
      </c>
      <c r="AK177" s="45">
        <v>48.304000000000002</v>
      </c>
      <c r="AM177" s="45">
        <v>80.302000000000007</v>
      </c>
      <c r="AO177" s="45">
        <v>141.65100000000001</v>
      </c>
    </row>
    <row r="178" spans="1:41">
      <c r="A178" s="46">
        <v>45556</v>
      </c>
    </row>
    <row r="179" spans="1:41">
      <c r="A179" s="46">
        <v>45557</v>
      </c>
    </row>
    <row r="180" spans="1:41">
      <c r="A180" s="46">
        <v>45558</v>
      </c>
      <c r="C180" s="45">
        <v>110.81</v>
      </c>
      <c r="E180" s="45">
        <v>63.71</v>
      </c>
      <c r="G180" s="45">
        <v>188.03700000000001</v>
      </c>
      <c r="I180" s="45">
        <v>95.373800000000003</v>
      </c>
      <c r="K180" s="45">
        <v>92.28</v>
      </c>
      <c r="M180" s="45">
        <v>112.88</v>
      </c>
      <c r="O180" s="45">
        <v>116.41500000000001</v>
      </c>
      <c r="Q180" s="45">
        <v>183.0384</v>
      </c>
      <c r="S180" s="45">
        <v>91.768600000000006</v>
      </c>
      <c r="U180" s="45">
        <v>188.14429999999999</v>
      </c>
      <c r="W180" s="45">
        <v>284.10500000000002</v>
      </c>
      <c r="Y180" s="45">
        <v>50.51</v>
      </c>
      <c r="AA180" s="45">
        <v>17.02</v>
      </c>
      <c r="AC180" s="45">
        <v>46.570999999999998</v>
      </c>
      <c r="AE180" s="45">
        <v>88.97</v>
      </c>
      <c r="AG180" s="45">
        <v>27.025700000000001</v>
      </c>
      <c r="AI180" s="45">
        <v>43.9925</v>
      </c>
      <c r="AK180" s="45">
        <v>48.758000000000003</v>
      </c>
      <c r="AM180" s="45">
        <v>80.908000000000001</v>
      </c>
      <c r="AO180" s="45">
        <v>142.334</v>
      </c>
    </row>
    <row r="181" spans="1:41">
      <c r="A181" s="46">
        <v>45559</v>
      </c>
      <c r="C181" s="45">
        <v>110.69</v>
      </c>
      <c r="E181" s="45">
        <v>63.67</v>
      </c>
      <c r="G181" s="45">
        <v>187.40270000000001</v>
      </c>
      <c r="I181" s="45">
        <v>95.3536</v>
      </c>
      <c r="K181" s="45">
        <v>92.64</v>
      </c>
      <c r="M181" s="45">
        <v>112.92</v>
      </c>
      <c r="O181" s="45">
        <v>116.276</v>
      </c>
      <c r="Q181" s="45">
        <v>183.53360000000001</v>
      </c>
      <c r="S181" s="45">
        <v>91.858699999999999</v>
      </c>
      <c r="U181" s="45">
        <v>187.87790000000001</v>
      </c>
      <c r="W181" s="45">
        <v>283.71300000000002</v>
      </c>
      <c r="Y181" s="45">
        <v>50.62</v>
      </c>
      <c r="AA181" s="45">
        <v>17.079999999999998</v>
      </c>
      <c r="AC181" s="45">
        <v>46.762</v>
      </c>
      <c r="AE181" s="45">
        <v>88.93</v>
      </c>
      <c r="AG181" s="45">
        <v>27.068899999999999</v>
      </c>
      <c r="AI181" s="45">
        <v>43.808700000000002</v>
      </c>
      <c r="AK181" s="45">
        <v>48.822000000000003</v>
      </c>
      <c r="AM181" s="45">
        <v>80.799000000000007</v>
      </c>
      <c r="AO181" s="45">
        <v>142.994</v>
      </c>
    </row>
    <row r="182" spans="1:41">
      <c r="A182" s="46">
        <v>45560</v>
      </c>
      <c r="C182" s="45">
        <v>110.19</v>
      </c>
      <c r="E182" s="45">
        <v>63.61</v>
      </c>
      <c r="G182" s="45">
        <v>187.62819999999999</v>
      </c>
      <c r="I182" s="45">
        <v>95.312299999999993</v>
      </c>
      <c r="K182" s="45">
        <v>92.4</v>
      </c>
      <c r="M182" s="45">
        <v>113.19</v>
      </c>
      <c r="O182" s="45">
        <v>116.38500000000001</v>
      </c>
      <c r="Q182" s="45">
        <v>182.625</v>
      </c>
      <c r="S182" s="45">
        <v>92.1233</v>
      </c>
      <c r="U182" s="45">
        <v>186.93940000000001</v>
      </c>
      <c r="W182" s="45">
        <v>282.90980000000002</v>
      </c>
      <c r="Y182" s="45">
        <v>50.49</v>
      </c>
      <c r="AA182" s="45">
        <v>17.07</v>
      </c>
      <c r="AC182" s="45">
        <v>46.503999999999998</v>
      </c>
      <c r="AE182" s="45">
        <v>88.94</v>
      </c>
      <c r="AG182" s="45">
        <v>26.928000000000001</v>
      </c>
      <c r="AI182" s="45">
        <v>43.653399999999998</v>
      </c>
      <c r="AK182" s="45">
        <v>48.698</v>
      </c>
      <c r="AM182" s="45">
        <v>80.700999999999993</v>
      </c>
      <c r="AO182" s="45">
        <v>143.04</v>
      </c>
    </row>
    <row r="183" spans="1:41">
      <c r="A183" s="46">
        <v>45561</v>
      </c>
      <c r="C183" s="45">
        <v>110</v>
      </c>
      <c r="E183" s="45">
        <v>64.040000000000006</v>
      </c>
      <c r="G183" s="45">
        <v>186.90719999999999</v>
      </c>
      <c r="I183" s="45">
        <v>96.033299999999997</v>
      </c>
      <c r="K183" s="45">
        <v>92.31</v>
      </c>
      <c r="M183" s="45">
        <v>113.98</v>
      </c>
      <c r="O183" s="45">
        <v>117.121</v>
      </c>
      <c r="Q183" s="45">
        <v>181.8871</v>
      </c>
      <c r="S183" s="45">
        <v>92.684899999999999</v>
      </c>
      <c r="U183" s="45">
        <v>185.98140000000001</v>
      </c>
      <c r="W183" s="45">
        <v>282.56169999999997</v>
      </c>
      <c r="Y183" s="45">
        <v>50.41</v>
      </c>
      <c r="AA183" s="45">
        <v>17.13</v>
      </c>
      <c r="AC183" s="45">
        <v>46.317999999999998</v>
      </c>
      <c r="AE183" s="45">
        <v>89.5</v>
      </c>
      <c r="AG183" s="45">
        <v>26.875699999999998</v>
      </c>
      <c r="AI183" s="45">
        <v>43.5197</v>
      </c>
      <c r="AK183" s="45">
        <v>48.518999999999998</v>
      </c>
      <c r="AM183" s="45">
        <v>81.027000000000001</v>
      </c>
      <c r="AO183" s="45">
        <v>142.15299999999999</v>
      </c>
    </row>
    <row r="184" spans="1:41">
      <c r="A184" s="46">
        <v>45562</v>
      </c>
      <c r="C184" s="45">
        <v>109.74</v>
      </c>
      <c r="E184" s="45">
        <v>63.85</v>
      </c>
      <c r="G184" s="45">
        <v>188.16229999999999</v>
      </c>
      <c r="I184" s="45">
        <v>95.769800000000004</v>
      </c>
      <c r="K184" s="45">
        <v>92.53</v>
      </c>
      <c r="M184" s="45">
        <v>113.81</v>
      </c>
      <c r="O184" s="45">
        <v>116.792</v>
      </c>
      <c r="Q184" s="45">
        <v>182.62469999999999</v>
      </c>
      <c r="S184" s="45">
        <v>92.718900000000005</v>
      </c>
      <c r="U184" s="45">
        <v>186.0521</v>
      </c>
      <c r="W184" s="45">
        <v>284.28949999999998</v>
      </c>
      <c r="Y184" s="45">
        <v>50.49</v>
      </c>
      <c r="AA184" s="45">
        <v>17.16</v>
      </c>
      <c r="AC184" s="45">
        <v>46.238</v>
      </c>
      <c r="AE184" s="45">
        <v>89.65</v>
      </c>
      <c r="AG184" s="45">
        <v>26.8779</v>
      </c>
      <c r="AI184" s="45">
        <v>43.615699999999997</v>
      </c>
      <c r="AK184" s="45">
        <v>48.441000000000003</v>
      </c>
      <c r="AM184" s="45">
        <v>80.870999999999995</v>
      </c>
      <c r="AO184" s="45">
        <v>141.80699999999999</v>
      </c>
    </row>
    <row r="185" spans="1:41">
      <c r="A185" s="46">
        <v>45563</v>
      </c>
    </row>
    <row r="186" spans="1:41">
      <c r="A186" s="46">
        <v>45564</v>
      </c>
    </row>
    <row r="187" spans="1:41">
      <c r="A187" s="46">
        <v>45565</v>
      </c>
      <c r="C187" s="45">
        <v>109.7</v>
      </c>
      <c r="E187" s="45">
        <v>62.91</v>
      </c>
      <c r="G187" s="45">
        <v>188.17439999999999</v>
      </c>
      <c r="I187" s="45">
        <v>94.801299999999998</v>
      </c>
      <c r="K187" s="45">
        <v>92.6</v>
      </c>
      <c r="M187" s="45">
        <v>112.24</v>
      </c>
      <c r="O187" s="45">
        <v>115.42400000000001</v>
      </c>
      <c r="Q187" s="45">
        <v>182.12690000000001</v>
      </c>
      <c r="S187" s="45">
        <v>91.575800000000001</v>
      </c>
      <c r="U187" s="45">
        <v>186.23949999999999</v>
      </c>
      <c r="W187" s="45">
        <v>282.37849999999997</v>
      </c>
      <c r="Y187" s="45">
        <v>50.67</v>
      </c>
      <c r="AA187" s="45">
        <v>17.03</v>
      </c>
      <c r="AC187" s="45">
        <v>46.235999999999997</v>
      </c>
      <c r="AE187" s="45">
        <v>88.47</v>
      </c>
      <c r="AG187" s="45">
        <v>26.8508</v>
      </c>
      <c r="AI187" s="45">
        <v>43.575800000000001</v>
      </c>
      <c r="AK187" s="45">
        <v>48.496000000000002</v>
      </c>
      <c r="AM187" s="45">
        <v>79.716999999999999</v>
      </c>
      <c r="AO187" s="45">
        <v>141.88399999999999</v>
      </c>
    </row>
    <row r="188" spans="1:41">
      <c r="A188" s="46">
        <v>45566</v>
      </c>
      <c r="C188" s="45">
        <v>110.39</v>
      </c>
      <c r="E188" s="45">
        <v>62.87</v>
      </c>
      <c r="G188" s="45">
        <v>188.54089999999999</v>
      </c>
      <c r="I188" s="45">
        <v>94.841999999999999</v>
      </c>
      <c r="K188" s="45">
        <v>93.01</v>
      </c>
      <c r="M188" s="45">
        <v>112.22</v>
      </c>
      <c r="O188" s="45">
        <v>115.536</v>
      </c>
      <c r="Q188" s="45">
        <v>182.95859999999999</v>
      </c>
      <c r="S188" s="45">
        <v>91.559899999999999</v>
      </c>
      <c r="U188" s="45">
        <v>186.65180000000001</v>
      </c>
      <c r="W188" s="45">
        <v>283.00889999999998</v>
      </c>
      <c r="Y188" s="45">
        <v>50.7</v>
      </c>
      <c r="AA188" s="45">
        <v>17.05</v>
      </c>
      <c r="AC188" s="45">
        <v>46.453000000000003</v>
      </c>
      <c r="AE188" s="45">
        <v>88.45</v>
      </c>
      <c r="AG188" s="45">
        <v>27.137</v>
      </c>
      <c r="AI188" s="45">
        <v>43.993499999999997</v>
      </c>
      <c r="AK188" s="45">
        <v>48.64</v>
      </c>
      <c r="AM188" s="45">
        <v>79.793000000000006</v>
      </c>
      <c r="AO188" s="45">
        <v>142.637</v>
      </c>
    </row>
    <row r="189" spans="1:41">
      <c r="A189" s="46">
        <v>45567</v>
      </c>
    </row>
    <row r="190" spans="1:41">
      <c r="A190" s="46">
        <v>45568</v>
      </c>
      <c r="C190" s="45">
        <v>108.47</v>
      </c>
      <c r="E190" s="45">
        <v>61.63</v>
      </c>
      <c r="G190" s="45">
        <v>185.74369999999999</v>
      </c>
      <c r="I190" s="45">
        <v>92.905199999999994</v>
      </c>
      <c r="K190" s="45">
        <v>91.43</v>
      </c>
      <c r="M190" s="45">
        <v>109.98</v>
      </c>
      <c r="O190" s="45">
        <v>113.199</v>
      </c>
      <c r="Q190" s="45">
        <v>179.6173</v>
      </c>
      <c r="S190" s="45">
        <v>89.801199999999994</v>
      </c>
      <c r="U190" s="45">
        <v>183.21299999999999</v>
      </c>
      <c r="W190" s="45">
        <v>277.06950000000001</v>
      </c>
      <c r="Y190" s="45">
        <v>49.69</v>
      </c>
      <c r="AA190" s="45">
        <v>16.739999999999998</v>
      </c>
      <c r="AC190" s="45">
        <v>45.722999999999999</v>
      </c>
      <c r="AE190" s="45">
        <v>86.62</v>
      </c>
      <c r="AG190" s="45">
        <v>26.672699999999999</v>
      </c>
      <c r="AI190" s="45">
        <v>43.308100000000003</v>
      </c>
      <c r="AK190" s="45">
        <v>47.790999999999997</v>
      </c>
      <c r="AM190" s="45">
        <v>78.171999999999997</v>
      </c>
      <c r="AO190" s="45">
        <v>140.251</v>
      </c>
    </row>
    <row r="191" spans="1:41">
      <c r="A191" s="46">
        <v>45569</v>
      </c>
      <c r="C191" s="45">
        <v>107.46</v>
      </c>
      <c r="E191" s="45">
        <v>60.92</v>
      </c>
      <c r="G191" s="45">
        <v>185.3323</v>
      </c>
      <c r="I191" s="45">
        <v>92.085599999999999</v>
      </c>
      <c r="K191" s="45">
        <v>90.72</v>
      </c>
      <c r="M191" s="45">
        <v>109.11</v>
      </c>
      <c r="O191" s="45">
        <v>112.10899999999999</v>
      </c>
      <c r="Q191" s="45">
        <v>178.27019999999999</v>
      </c>
      <c r="S191" s="45">
        <v>89.095699999999994</v>
      </c>
      <c r="U191" s="45">
        <v>182.1652</v>
      </c>
      <c r="W191" s="45">
        <v>274.73939999999999</v>
      </c>
      <c r="Y191" s="45">
        <v>49.22</v>
      </c>
      <c r="AA191" s="45">
        <v>16.55</v>
      </c>
      <c r="AC191" s="45">
        <v>45.476999999999997</v>
      </c>
      <c r="AE191" s="45">
        <v>85.86</v>
      </c>
      <c r="AG191" s="45">
        <v>26.494599999999998</v>
      </c>
      <c r="AI191" s="45">
        <v>43.248100000000001</v>
      </c>
      <c r="AK191" s="45">
        <v>47.417999999999999</v>
      </c>
      <c r="AM191" s="45">
        <v>77.471000000000004</v>
      </c>
      <c r="AO191" s="45">
        <v>139.626</v>
      </c>
    </row>
    <row r="192" spans="1:41">
      <c r="A192" s="46">
        <v>45570</v>
      </c>
    </row>
    <row r="193" spans="1:41">
      <c r="A193" s="46">
        <v>45571</v>
      </c>
    </row>
    <row r="194" spans="1:41">
      <c r="A194" s="46">
        <v>45572</v>
      </c>
      <c r="C194" s="45">
        <v>105.23</v>
      </c>
      <c r="E194" s="45">
        <v>60.32</v>
      </c>
      <c r="G194" s="45">
        <v>181.1712</v>
      </c>
      <c r="I194" s="45">
        <v>91.225399999999993</v>
      </c>
      <c r="K194" s="45">
        <v>89.09</v>
      </c>
      <c r="M194" s="45">
        <v>108.05</v>
      </c>
      <c r="O194" s="45">
        <v>110.758</v>
      </c>
      <c r="Q194" s="45">
        <v>173.85810000000001</v>
      </c>
      <c r="S194" s="45">
        <v>87.905900000000003</v>
      </c>
      <c r="U194" s="45">
        <v>178.03639999999999</v>
      </c>
      <c r="W194" s="45">
        <v>268.16520000000003</v>
      </c>
      <c r="Y194" s="49">
        <v>47.8</v>
      </c>
      <c r="AA194" s="45">
        <v>16.27</v>
      </c>
      <c r="AC194" s="45">
        <v>44.3</v>
      </c>
      <c r="AE194" s="45">
        <v>85</v>
      </c>
      <c r="AG194" s="45">
        <v>25.805</v>
      </c>
      <c r="AI194" s="45">
        <v>42.183599999999998</v>
      </c>
      <c r="AK194" s="45">
        <v>46.12</v>
      </c>
      <c r="AM194" s="45">
        <v>76.557000000000002</v>
      </c>
      <c r="AO194" s="45">
        <v>136.6</v>
      </c>
    </row>
    <row r="195" spans="1:41">
      <c r="A195" s="46">
        <v>45573</v>
      </c>
      <c r="C195" s="49">
        <v>106.58</v>
      </c>
      <c r="E195" s="49">
        <v>61.05</v>
      </c>
      <c r="G195" s="49">
        <v>184.49369999999999</v>
      </c>
      <c r="I195" s="49">
        <v>92.132499999999993</v>
      </c>
      <c r="K195" s="49">
        <v>90.06</v>
      </c>
      <c r="M195" s="49">
        <v>108.94</v>
      </c>
      <c r="O195" s="49">
        <v>111.879</v>
      </c>
      <c r="Q195" s="49">
        <v>177.48509999999999</v>
      </c>
      <c r="S195" s="49">
        <v>89.022300000000001</v>
      </c>
      <c r="U195" s="49">
        <v>180.23310000000001</v>
      </c>
      <c r="W195" s="49">
        <v>273.90269999999998</v>
      </c>
      <c r="Y195" s="45">
        <v>48.73</v>
      </c>
      <c r="AA195" s="86">
        <v>16.440000000000001</v>
      </c>
      <c r="AC195" s="86">
        <v>45.198</v>
      </c>
      <c r="AE195" s="86">
        <v>85.76</v>
      </c>
      <c r="AG195" s="45">
        <v>26.3536</v>
      </c>
      <c r="AI195" s="45">
        <v>43.286200000000001</v>
      </c>
      <c r="AK195" s="45">
        <v>47.155999999999999</v>
      </c>
      <c r="AM195" s="45">
        <v>77.739000000000004</v>
      </c>
      <c r="AO195" s="45">
        <v>139.548</v>
      </c>
    </row>
    <row r="196" spans="1:41">
      <c r="A196" s="46">
        <v>45574</v>
      </c>
      <c r="C196" s="45">
        <v>107.72</v>
      </c>
      <c r="E196" s="45">
        <v>61.35</v>
      </c>
      <c r="G196" s="45">
        <v>186.02799999999999</v>
      </c>
      <c r="I196" s="45">
        <v>92.5291</v>
      </c>
      <c r="K196" s="45">
        <v>90.79</v>
      </c>
      <c r="M196" s="45">
        <v>109.22</v>
      </c>
      <c r="O196" s="45">
        <v>112.114</v>
      </c>
      <c r="Q196" s="45">
        <v>179.55860000000001</v>
      </c>
      <c r="S196" s="45">
        <v>89.339699999999993</v>
      </c>
      <c r="U196" s="45">
        <v>181.9734</v>
      </c>
      <c r="W196" s="45">
        <v>275.16460000000001</v>
      </c>
      <c r="Y196" s="45">
        <v>49.47</v>
      </c>
      <c r="AA196" s="45">
        <v>16.52</v>
      </c>
      <c r="AC196" s="45">
        <v>45.685000000000002</v>
      </c>
      <c r="AE196" s="45">
        <v>86.12</v>
      </c>
      <c r="AG196" s="45">
        <v>26.6557</v>
      </c>
      <c r="AI196" s="45">
        <v>43.595599999999997</v>
      </c>
      <c r="AK196" s="45">
        <v>47.612000000000002</v>
      </c>
      <c r="AM196" s="45">
        <v>77.915999999999997</v>
      </c>
      <c r="AO196" s="45">
        <v>140.20400000000001</v>
      </c>
    </row>
    <row r="197" spans="1:41">
      <c r="A197" s="46">
        <v>45575</v>
      </c>
      <c r="C197" s="45">
        <v>107.84</v>
      </c>
      <c r="E197" s="45">
        <v>61.21</v>
      </c>
      <c r="G197" s="45">
        <v>185.7998</v>
      </c>
      <c r="I197" s="45">
        <v>92.479100000000003</v>
      </c>
      <c r="K197" s="45">
        <v>91.2</v>
      </c>
      <c r="M197" s="45">
        <v>109.1</v>
      </c>
      <c r="O197" s="45">
        <v>112.02500000000001</v>
      </c>
      <c r="Q197" s="45">
        <v>180.46799999999999</v>
      </c>
      <c r="S197" s="45">
        <v>89.586799999999997</v>
      </c>
      <c r="U197" s="45">
        <v>182.47030000000001</v>
      </c>
      <c r="W197" s="45">
        <v>275.70170000000002</v>
      </c>
      <c r="Y197" s="45">
        <v>49.75</v>
      </c>
      <c r="AA197" s="45">
        <v>16.52</v>
      </c>
      <c r="AC197" s="45">
        <v>45.710999999999999</v>
      </c>
      <c r="AE197" s="45">
        <v>85.91</v>
      </c>
      <c r="AG197" s="45">
        <v>26.706199999999999</v>
      </c>
      <c r="AI197" s="45">
        <v>43.631300000000003</v>
      </c>
      <c r="AK197" s="45">
        <v>47.781999999999996</v>
      </c>
      <c r="AM197" s="45">
        <v>77.757000000000005</v>
      </c>
      <c r="AO197" s="45">
        <v>140.66499999999999</v>
      </c>
    </row>
    <row r="198" spans="1:41">
      <c r="A198" s="46">
        <v>45576</v>
      </c>
      <c r="C198" s="45">
        <v>108.2</v>
      </c>
      <c r="E198" s="45">
        <v>61.12</v>
      </c>
      <c r="G198" s="45">
        <v>186.37639999999999</v>
      </c>
      <c r="I198" s="45">
        <v>92.5244</v>
      </c>
      <c r="K198" s="45">
        <v>91.3</v>
      </c>
      <c r="M198" s="45">
        <v>108.97</v>
      </c>
      <c r="O198" s="45">
        <v>111.771</v>
      </c>
      <c r="Q198" s="45">
        <v>180.88050000000001</v>
      </c>
      <c r="S198" s="45">
        <v>89.467699999999994</v>
      </c>
      <c r="U198" s="45">
        <v>182.9308</v>
      </c>
      <c r="W198" s="45">
        <v>276.30579999999998</v>
      </c>
      <c r="Y198" s="45">
        <v>49.74</v>
      </c>
      <c r="AA198" s="45">
        <v>16.559999999999999</v>
      </c>
      <c r="AC198" s="45">
        <v>46.055</v>
      </c>
      <c r="AE198" s="45">
        <v>85.9</v>
      </c>
      <c r="AG198" s="45">
        <v>26.836200000000002</v>
      </c>
      <c r="AI198" s="45">
        <v>44.047600000000003</v>
      </c>
      <c r="AK198" s="45">
        <v>47.988</v>
      </c>
      <c r="AM198" s="45">
        <v>77.7</v>
      </c>
      <c r="AO198" s="45">
        <v>141.31700000000001</v>
      </c>
    </row>
    <row r="199" spans="1:41">
      <c r="A199" s="46">
        <v>45577</v>
      </c>
    </row>
    <row r="200" spans="1:41">
      <c r="A200" s="46">
        <v>45578</v>
      </c>
    </row>
    <row r="201" spans="1:41">
      <c r="A201" s="46">
        <v>45579</v>
      </c>
      <c r="C201" s="45">
        <v>108.6</v>
      </c>
      <c r="E201" s="45">
        <v>61.22</v>
      </c>
      <c r="G201" s="45">
        <v>187.09960000000001</v>
      </c>
      <c r="I201" s="45">
        <v>93.180300000000003</v>
      </c>
      <c r="K201" s="45">
        <v>91.41</v>
      </c>
      <c r="M201" s="45">
        <v>109.45</v>
      </c>
      <c r="O201" s="45">
        <v>112.297</v>
      </c>
      <c r="Q201" s="45">
        <v>181.24019999999999</v>
      </c>
      <c r="S201" s="45">
        <v>89.952799999999996</v>
      </c>
      <c r="U201" s="45">
        <v>183.42169999999999</v>
      </c>
      <c r="W201" s="45">
        <v>276.5256</v>
      </c>
      <c r="Y201" s="45">
        <v>49.92</v>
      </c>
      <c r="AA201" s="45">
        <v>16.61</v>
      </c>
      <c r="AC201" s="45">
        <v>46.298000000000002</v>
      </c>
      <c r="AE201" s="45">
        <v>86.28</v>
      </c>
      <c r="AG201" s="45">
        <v>26.948899999999998</v>
      </c>
      <c r="AI201" s="45">
        <v>44.054299999999998</v>
      </c>
      <c r="AK201" s="45">
        <v>48.006999999999998</v>
      </c>
      <c r="AM201" s="45">
        <v>77.927999999999997</v>
      </c>
      <c r="AO201" s="45">
        <v>141.30600000000001</v>
      </c>
    </row>
    <row r="202" spans="1:41">
      <c r="A202" s="46">
        <v>45580</v>
      </c>
      <c r="C202" s="45">
        <v>109.8</v>
      </c>
      <c r="E202" s="45">
        <v>61.17</v>
      </c>
      <c r="G202" s="45">
        <v>188.82839999999999</v>
      </c>
      <c r="I202" s="45">
        <v>93.076499999999996</v>
      </c>
      <c r="K202" s="45">
        <v>91.95</v>
      </c>
      <c r="M202" s="45">
        <v>109.42</v>
      </c>
      <c r="O202" s="45">
        <v>112.149</v>
      </c>
      <c r="Q202" s="45">
        <v>183.02459999999999</v>
      </c>
      <c r="S202" s="45">
        <v>89.906899999999993</v>
      </c>
      <c r="U202" s="45">
        <v>185.66849999999999</v>
      </c>
      <c r="W202" s="45">
        <v>278.20580000000001</v>
      </c>
      <c r="Y202" s="45">
        <v>50.58</v>
      </c>
      <c r="AA202" s="45">
        <v>16.59</v>
      </c>
      <c r="AC202" s="45">
        <v>46.753</v>
      </c>
      <c r="AE202" s="45">
        <v>86.11</v>
      </c>
      <c r="AG202" s="45">
        <v>27.232500000000002</v>
      </c>
      <c r="AI202" s="45">
        <v>44.536799999999999</v>
      </c>
      <c r="AK202" s="45">
        <v>48.58</v>
      </c>
      <c r="AM202" s="45">
        <v>77.977999999999994</v>
      </c>
      <c r="AO202" s="45">
        <v>142.983</v>
      </c>
    </row>
    <row r="203" spans="1:41">
      <c r="A203" s="46">
        <v>45581</v>
      </c>
      <c r="C203" s="45">
        <v>109.77</v>
      </c>
      <c r="E203" s="45">
        <v>60.84</v>
      </c>
      <c r="G203" s="45">
        <v>188.76840000000001</v>
      </c>
      <c r="I203" s="45">
        <v>92.867199999999997</v>
      </c>
      <c r="K203" s="45">
        <v>92.35</v>
      </c>
      <c r="M203" s="45">
        <v>109.29</v>
      </c>
      <c r="O203" s="45">
        <v>111.73399999999999</v>
      </c>
      <c r="Q203" s="45">
        <v>183.185</v>
      </c>
      <c r="S203" s="45">
        <v>89.829800000000006</v>
      </c>
      <c r="U203" s="45">
        <v>185.95439999999999</v>
      </c>
      <c r="W203" s="45">
        <v>278.85059999999999</v>
      </c>
      <c r="Y203" s="45">
        <v>50.57</v>
      </c>
      <c r="AA203" s="45">
        <v>16.559999999999999</v>
      </c>
      <c r="AC203" s="45">
        <v>46.854999999999997</v>
      </c>
      <c r="AE203" s="45">
        <v>85.87</v>
      </c>
      <c r="AG203" s="45">
        <v>27.252400000000002</v>
      </c>
      <c r="AI203" s="45">
        <v>44.6599</v>
      </c>
      <c r="AK203" s="45">
        <v>48.692</v>
      </c>
      <c r="AM203" s="45">
        <v>77.620999999999995</v>
      </c>
      <c r="AO203" s="45">
        <v>143.107</v>
      </c>
    </row>
    <row r="204" spans="1:41">
      <c r="A204" s="46">
        <v>45582</v>
      </c>
      <c r="C204" s="45">
        <v>108.4</v>
      </c>
      <c r="E204" s="45">
        <v>59.95</v>
      </c>
      <c r="G204" s="45">
        <v>186.97800000000001</v>
      </c>
      <c r="I204" s="45">
        <v>91.954899999999995</v>
      </c>
      <c r="K204" s="45">
        <v>91.06</v>
      </c>
      <c r="M204" s="45">
        <v>108.25</v>
      </c>
      <c r="O204" s="45">
        <v>110.64700000000001</v>
      </c>
      <c r="Q204" s="45">
        <v>180.84039999999999</v>
      </c>
      <c r="S204" s="45">
        <v>88.968400000000003</v>
      </c>
      <c r="U204" s="45">
        <v>183.63290000000001</v>
      </c>
      <c r="W204" s="45">
        <v>275.06290000000001</v>
      </c>
      <c r="Y204" s="45">
        <v>49.94</v>
      </c>
      <c r="AA204" s="45">
        <v>16.36</v>
      </c>
      <c r="AC204" s="45">
        <v>46.054000000000002</v>
      </c>
      <c r="AE204" s="45">
        <v>84.86</v>
      </c>
      <c r="AG204" s="45">
        <v>26.991199999999999</v>
      </c>
      <c r="AI204" s="45">
        <v>44.117600000000003</v>
      </c>
      <c r="AK204" s="45">
        <v>47.988</v>
      </c>
      <c r="AM204" s="45">
        <v>76.664000000000001</v>
      </c>
      <c r="AO204" s="45">
        <v>141.30500000000001</v>
      </c>
    </row>
    <row r="205" spans="1:41">
      <c r="A205" s="46">
        <v>45583</v>
      </c>
      <c r="C205" s="45">
        <v>108.11</v>
      </c>
      <c r="E205" s="45">
        <v>59.97</v>
      </c>
      <c r="G205" s="45">
        <v>186.83459999999999</v>
      </c>
      <c r="I205" s="45">
        <v>92.19</v>
      </c>
      <c r="K205" s="45">
        <v>90.99</v>
      </c>
      <c r="M205" s="45">
        <v>108.8</v>
      </c>
      <c r="O205" s="45">
        <v>111.03400000000001</v>
      </c>
      <c r="Q205" s="45">
        <v>180.9819</v>
      </c>
      <c r="S205" s="45">
        <v>89.259</v>
      </c>
      <c r="U205" s="45">
        <v>183.2165</v>
      </c>
      <c r="W205" s="45">
        <v>275.21019999999999</v>
      </c>
      <c r="Y205" s="45">
        <v>50.04</v>
      </c>
      <c r="AA205" s="45">
        <v>16.440000000000001</v>
      </c>
      <c r="AC205" s="45">
        <v>46.061</v>
      </c>
      <c r="AE205" s="45">
        <v>85.23</v>
      </c>
      <c r="AG205" s="45">
        <v>26.9435</v>
      </c>
      <c r="AI205" s="45">
        <v>44.093600000000002</v>
      </c>
      <c r="AK205" s="45">
        <v>47.9</v>
      </c>
      <c r="AM205" s="45">
        <v>76.710999999999999</v>
      </c>
      <c r="AO205" s="45">
        <v>140.81399999999999</v>
      </c>
    </row>
    <row r="206" spans="1:41">
      <c r="A206" s="46">
        <v>45584</v>
      </c>
    </row>
    <row r="207" spans="1:41">
      <c r="A207" s="46">
        <v>45585</v>
      </c>
    </row>
    <row r="208" spans="1:41">
      <c r="A208" s="46">
        <v>45586</v>
      </c>
      <c r="C208" s="45">
        <v>106.85</v>
      </c>
      <c r="E208" s="45">
        <v>59.82</v>
      </c>
      <c r="G208" s="45">
        <v>183.96729999999999</v>
      </c>
      <c r="I208" s="45">
        <v>91.6434</v>
      </c>
      <c r="K208" s="45">
        <v>89.89</v>
      </c>
      <c r="M208" s="45">
        <v>108.53</v>
      </c>
      <c r="O208" s="45">
        <v>110.57</v>
      </c>
      <c r="Q208" s="45">
        <v>179.00139999999999</v>
      </c>
      <c r="S208" s="45">
        <v>88.801199999999994</v>
      </c>
      <c r="U208" s="45">
        <v>180.9982</v>
      </c>
      <c r="W208" s="45">
        <v>271.41930000000002</v>
      </c>
      <c r="Y208" s="45">
        <v>49.39</v>
      </c>
      <c r="AA208" s="45">
        <v>16.32</v>
      </c>
      <c r="AC208" s="45">
        <v>45.585999999999999</v>
      </c>
      <c r="AE208" s="45">
        <v>84.57</v>
      </c>
      <c r="AG208" s="45">
        <v>26.515899999999998</v>
      </c>
      <c r="AI208" s="45">
        <v>43.5259</v>
      </c>
      <c r="AK208" s="45">
        <v>47.262</v>
      </c>
      <c r="AM208" s="45">
        <v>76.326999999999998</v>
      </c>
      <c r="AO208" s="45">
        <v>138.87200000000001</v>
      </c>
    </row>
    <row r="209" spans="1:41">
      <c r="A209" s="46">
        <v>45587</v>
      </c>
      <c r="C209" s="45">
        <v>104.05</v>
      </c>
      <c r="E209" s="45">
        <v>59.1</v>
      </c>
      <c r="G209" s="45">
        <v>179.51089999999999</v>
      </c>
      <c r="I209" s="45">
        <v>90.459699999999998</v>
      </c>
      <c r="K209" s="45">
        <v>87.83</v>
      </c>
      <c r="M209" s="45">
        <v>107.27</v>
      </c>
      <c r="O209" s="45">
        <v>108.797</v>
      </c>
      <c r="Q209" s="45">
        <v>173.49270000000001</v>
      </c>
      <c r="S209" s="45">
        <v>87.356899999999996</v>
      </c>
      <c r="U209" s="45">
        <v>175.48099999999999</v>
      </c>
      <c r="W209" s="45">
        <v>262.8664</v>
      </c>
      <c r="Y209" s="45">
        <v>47.74</v>
      </c>
      <c r="AA209" s="45">
        <v>15.98</v>
      </c>
      <c r="AC209" s="45">
        <v>44.277999999999999</v>
      </c>
      <c r="AE209" s="45">
        <v>83.37</v>
      </c>
      <c r="AG209" s="45">
        <v>25.705200000000001</v>
      </c>
      <c r="AI209" s="45">
        <v>42.0411</v>
      </c>
      <c r="AK209" s="45">
        <v>45.755000000000003</v>
      </c>
      <c r="AM209" s="45">
        <v>75.191000000000003</v>
      </c>
      <c r="AO209" s="45">
        <v>134.989</v>
      </c>
    </row>
    <row r="210" spans="1:41">
      <c r="A210" s="46">
        <v>45588</v>
      </c>
      <c r="C210" s="45">
        <v>104.69</v>
      </c>
      <c r="E210" s="45">
        <v>59.19</v>
      </c>
      <c r="G210" s="45">
        <v>179.5429</v>
      </c>
      <c r="I210" s="45">
        <v>90.224999999999994</v>
      </c>
      <c r="K210" s="45">
        <v>87.96</v>
      </c>
      <c r="M210" s="45">
        <v>107.01</v>
      </c>
      <c r="O210" s="45">
        <v>109.08199999999999</v>
      </c>
      <c r="Q210" s="45">
        <v>174.48519999999999</v>
      </c>
      <c r="S210" s="45">
        <v>87.324600000000004</v>
      </c>
      <c r="U210" s="45">
        <v>176.404</v>
      </c>
      <c r="W210" s="45">
        <v>264.58229999999998</v>
      </c>
      <c r="Y210" s="45">
        <v>48.29</v>
      </c>
      <c r="AA210" s="45">
        <v>16.04</v>
      </c>
      <c r="AC210" s="45">
        <v>44.618000000000002</v>
      </c>
      <c r="AE210" s="45">
        <v>83.22</v>
      </c>
      <c r="AG210" s="45">
        <v>25.934000000000001</v>
      </c>
      <c r="AI210" s="45">
        <v>42.2849</v>
      </c>
      <c r="AK210" s="45">
        <v>46.139000000000003</v>
      </c>
      <c r="AM210" s="45">
        <v>75.352000000000004</v>
      </c>
      <c r="AO210" s="45">
        <v>136.11699999999999</v>
      </c>
    </row>
    <row r="211" spans="1:41">
      <c r="A211" s="46">
        <v>45589</v>
      </c>
      <c r="C211" s="45">
        <v>103.67</v>
      </c>
      <c r="E211" s="45">
        <v>58.99</v>
      </c>
      <c r="G211" s="45">
        <v>177.97229999999999</v>
      </c>
      <c r="I211" s="45">
        <v>90.010400000000004</v>
      </c>
      <c r="K211" s="45">
        <v>87.55</v>
      </c>
      <c r="M211" s="45">
        <v>106.98</v>
      </c>
      <c r="O211" s="45">
        <v>109.036</v>
      </c>
      <c r="Q211" s="45">
        <v>173.55260000000001</v>
      </c>
      <c r="S211" s="45">
        <v>87.139499999999998</v>
      </c>
      <c r="U211" s="45">
        <v>175.60849999999999</v>
      </c>
      <c r="W211" s="45">
        <v>263.68579999999997</v>
      </c>
      <c r="Y211" s="45">
        <v>47.78</v>
      </c>
      <c r="AA211" s="45">
        <v>16.010000000000002</v>
      </c>
      <c r="AC211" s="45">
        <v>44.210999999999999</v>
      </c>
      <c r="AE211" s="45">
        <v>82.84</v>
      </c>
      <c r="AG211" s="45">
        <v>25.698</v>
      </c>
      <c r="AI211" s="45">
        <v>42.077800000000003</v>
      </c>
      <c r="AK211" s="45">
        <v>45.615000000000002</v>
      </c>
      <c r="AM211" s="45">
        <v>74.914000000000001</v>
      </c>
      <c r="AO211" s="45">
        <v>135.613</v>
      </c>
    </row>
    <row r="212" spans="1:41">
      <c r="A212" s="46">
        <v>45590</v>
      </c>
      <c r="C212" s="45">
        <v>102.16</v>
      </c>
      <c r="E212" s="45">
        <v>58.6</v>
      </c>
      <c r="G212" s="45">
        <v>175.0187</v>
      </c>
      <c r="I212" s="45">
        <v>89.419300000000007</v>
      </c>
      <c r="K212" s="45">
        <v>86.26</v>
      </c>
      <c r="M212" s="45">
        <v>105.97</v>
      </c>
      <c r="O212" s="45">
        <v>107.785</v>
      </c>
      <c r="Q212" s="45">
        <v>170.4461</v>
      </c>
      <c r="S212" s="45">
        <v>86.3078</v>
      </c>
      <c r="U212" s="45">
        <v>173.0522</v>
      </c>
      <c r="W212" s="45">
        <v>259.29379999999998</v>
      </c>
      <c r="Y212" s="45">
        <v>46.82</v>
      </c>
      <c r="AA212" s="45">
        <v>15.84</v>
      </c>
      <c r="AC212" s="45">
        <v>43.6</v>
      </c>
      <c r="AE212" s="45">
        <v>82.09</v>
      </c>
      <c r="AG212" s="45">
        <v>25.206600000000002</v>
      </c>
      <c r="AI212" s="45">
        <v>41.282400000000003</v>
      </c>
      <c r="AK212" s="45">
        <v>44.482999999999997</v>
      </c>
      <c r="AM212" s="45">
        <v>74.366</v>
      </c>
      <c r="AO212" s="45">
        <v>133.517</v>
      </c>
    </row>
    <row r="213" spans="1:41">
      <c r="A213" s="46">
        <v>45591</v>
      </c>
    </row>
    <row r="214" spans="1:41">
      <c r="A214" s="46">
        <v>45592</v>
      </c>
    </row>
    <row r="215" spans="1:41">
      <c r="A215" s="46">
        <v>45593</v>
      </c>
      <c r="C215" s="45">
        <v>102.47</v>
      </c>
      <c r="E215" s="45">
        <v>58.57</v>
      </c>
      <c r="G215" s="45">
        <v>174.7739</v>
      </c>
      <c r="I215" s="45">
        <v>89.804599999999994</v>
      </c>
      <c r="K215" s="45">
        <v>86.44</v>
      </c>
      <c r="M215" s="45">
        <v>106.37</v>
      </c>
      <c r="O215" s="45">
        <v>108.363</v>
      </c>
      <c r="Q215" s="45">
        <v>171.62610000000001</v>
      </c>
      <c r="S215" s="45">
        <v>86.614199999999997</v>
      </c>
      <c r="U215" s="45">
        <v>174.0454</v>
      </c>
      <c r="W215" s="45">
        <v>263.03519999999997</v>
      </c>
      <c r="Y215" s="45">
        <v>47.46</v>
      </c>
      <c r="AA215" s="45">
        <v>15.94</v>
      </c>
      <c r="AC215" s="45">
        <v>43.658000000000001</v>
      </c>
      <c r="AE215" s="45">
        <v>82.9</v>
      </c>
      <c r="AG215" s="45">
        <v>25.376799999999999</v>
      </c>
      <c r="AI215" s="45">
        <v>42.026699999999998</v>
      </c>
      <c r="AK215" s="45">
        <v>45.25</v>
      </c>
      <c r="AM215" s="45">
        <v>74.677999999999997</v>
      </c>
      <c r="AO215" s="45">
        <v>135.36099999999999</v>
      </c>
    </row>
    <row r="216" spans="1:41">
      <c r="A216" s="46">
        <v>45594</v>
      </c>
      <c r="C216" s="45">
        <v>102.97</v>
      </c>
      <c r="E216" s="45">
        <v>58.79</v>
      </c>
      <c r="G216" s="45">
        <v>175.56100000000001</v>
      </c>
      <c r="I216" s="45">
        <v>90.412199999999999</v>
      </c>
      <c r="K216" s="45">
        <v>87.1</v>
      </c>
      <c r="M216" s="45">
        <v>106.82</v>
      </c>
      <c r="O216" s="45">
        <v>109.068</v>
      </c>
      <c r="Q216" s="45">
        <v>173.0505</v>
      </c>
      <c r="S216" s="45">
        <v>87.397599999999997</v>
      </c>
      <c r="U216" s="45">
        <v>175.71440000000001</v>
      </c>
      <c r="W216" s="45">
        <v>264.86219999999997</v>
      </c>
      <c r="Y216" s="45">
        <v>47.6</v>
      </c>
      <c r="AA216" s="45">
        <v>16.09</v>
      </c>
      <c r="AC216" s="45">
        <v>44.034999999999997</v>
      </c>
      <c r="AE216" s="45">
        <v>83.23</v>
      </c>
      <c r="AG216" s="45">
        <v>25.546800000000001</v>
      </c>
      <c r="AI216" s="45">
        <v>41.926000000000002</v>
      </c>
      <c r="AK216" s="45">
        <v>45.537999999999997</v>
      </c>
      <c r="AM216" s="45">
        <v>74.988</v>
      </c>
      <c r="AO216" s="45">
        <v>135.72300000000001</v>
      </c>
    </row>
    <row r="217" spans="1:41">
      <c r="A217" s="46">
        <v>45595</v>
      </c>
      <c r="C217" s="45">
        <v>103.81</v>
      </c>
      <c r="E217" s="45">
        <v>58.46</v>
      </c>
      <c r="G217" s="45">
        <v>176.88249999999999</v>
      </c>
      <c r="I217" s="45">
        <v>89.997600000000006</v>
      </c>
      <c r="K217" s="45">
        <v>88.01</v>
      </c>
      <c r="M217" s="45">
        <v>106.38</v>
      </c>
      <c r="O217" s="45">
        <v>108.639</v>
      </c>
      <c r="Q217" s="45">
        <v>174.36510000000001</v>
      </c>
      <c r="S217" s="45">
        <v>87.075100000000006</v>
      </c>
      <c r="U217" s="45">
        <v>177.547</v>
      </c>
      <c r="W217" s="45">
        <v>267.71089999999998</v>
      </c>
      <c r="Y217" s="45">
        <v>48.41</v>
      </c>
      <c r="AA217" s="45">
        <v>16.04</v>
      </c>
      <c r="AC217" s="45">
        <v>44.454000000000001</v>
      </c>
      <c r="AE217" s="45">
        <v>82.9</v>
      </c>
      <c r="AG217" s="45">
        <v>25.772099999999998</v>
      </c>
      <c r="AI217" s="45">
        <v>42.707299999999996</v>
      </c>
      <c r="AK217" s="45">
        <v>46.148000000000003</v>
      </c>
      <c r="AM217" s="45">
        <v>74.873999999999995</v>
      </c>
      <c r="AO217" s="45">
        <v>137.34899999999999</v>
      </c>
    </row>
    <row r="218" spans="1:41">
      <c r="A218" s="46">
        <v>45596</v>
      </c>
      <c r="C218" s="45">
        <v>105.2</v>
      </c>
      <c r="E218" s="45">
        <v>58.15</v>
      </c>
      <c r="G218" s="45">
        <v>179.98759999999999</v>
      </c>
      <c r="I218" s="45">
        <v>89.653400000000005</v>
      </c>
      <c r="K218" s="45">
        <v>88.69</v>
      </c>
      <c r="M218" s="45">
        <v>106.15</v>
      </c>
      <c r="O218" s="45">
        <v>108.158</v>
      </c>
      <c r="Q218" s="45">
        <v>176.68719999999999</v>
      </c>
      <c r="S218" s="45">
        <v>86.933999999999997</v>
      </c>
      <c r="U218" s="45">
        <v>179.3142</v>
      </c>
      <c r="W218" s="45">
        <v>270.22300000000001</v>
      </c>
      <c r="Y218" s="45">
        <v>49.27</v>
      </c>
      <c r="AA218" s="45">
        <v>16.010000000000002</v>
      </c>
      <c r="AC218" s="45">
        <v>44.927999999999997</v>
      </c>
      <c r="AE218" s="45">
        <v>82.83</v>
      </c>
      <c r="AG218" s="45">
        <v>26.075299999999999</v>
      </c>
      <c r="AI218" s="45">
        <v>43.439300000000003</v>
      </c>
      <c r="AK218" s="45">
        <v>46.637999999999998</v>
      </c>
      <c r="AM218" s="45">
        <v>74.584000000000003</v>
      </c>
      <c r="AO218" s="45">
        <v>139.715</v>
      </c>
    </row>
    <row r="219" spans="1:41">
      <c r="A219" s="46">
        <v>45597</v>
      </c>
    </row>
    <row r="220" spans="1:41">
      <c r="A220" s="46">
        <v>45598</v>
      </c>
    </row>
    <row r="221" spans="1:41">
      <c r="A221" s="46">
        <v>45599</v>
      </c>
    </row>
    <row r="222" spans="1:41">
      <c r="A222" s="46">
        <v>45600</v>
      </c>
      <c r="C222" s="45">
        <v>104.74</v>
      </c>
      <c r="E222" s="45">
        <v>57.83</v>
      </c>
      <c r="G222" s="45">
        <v>179.50880000000001</v>
      </c>
      <c r="I222" s="45">
        <v>89.135099999999994</v>
      </c>
      <c r="K222" s="45">
        <v>88.49</v>
      </c>
      <c r="M222" s="45">
        <v>105.08</v>
      </c>
      <c r="O222" s="45">
        <v>107.41</v>
      </c>
      <c r="Q222" s="45">
        <v>175.5744</v>
      </c>
      <c r="S222" s="45">
        <v>86.255899999999997</v>
      </c>
      <c r="U222" s="45">
        <v>177.4853</v>
      </c>
      <c r="W222" s="45">
        <v>269.34829999999999</v>
      </c>
      <c r="Y222" s="45">
        <v>48.97</v>
      </c>
      <c r="AA222" s="45">
        <v>15.89</v>
      </c>
      <c r="AC222" s="45">
        <v>44.628999999999998</v>
      </c>
      <c r="AE222" s="45">
        <v>82.35</v>
      </c>
      <c r="AG222" s="45">
        <v>25.993099999999998</v>
      </c>
      <c r="AI222" s="45">
        <v>43.368899999999996</v>
      </c>
      <c r="AK222" s="45">
        <v>46.451000000000001</v>
      </c>
      <c r="AM222" s="45">
        <v>74.021000000000001</v>
      </c>
      <c r="AO222" s="45">
        <v>139.72999999999999</v>
      </c>
    </row>
    <row r="223" spans="1:41">
      <c r="A223" s="46">
        <v>45601</v>
      </c>
      <c r="C223" s="45">
        <v>104.92</v>
      </c>
      <c r="E223" s="45">
        <v>58.17</v>
      </c>
      <c r="G223" s="45">
        <v>179.24270000000001</v>
      </c>
      <c r="I223" s="45">
        <v>89.649100000000004</v>
      </c>
      <c r="K223" s="45">
        <v>88.71</v>
      </c>
      <c r="M223" s="45">
        <v>105.82</v>
      </c>
      <c r="O223" s="45">
        <v>108.387</v>
      </c>
      <c r="Q223" s="45">
        <v>176.32579999999999</v>
      </c>
      <c r="S223" s="45">
        <v>86.932500000000005</v>
      </c>
      <c r="U223" s="45">
        <v>178.0805</v>
      </c>
      <c r="W223" s="45">
        <v>271.2919</v>
      </c>
      <c r="Y223" s="45">
        <v>49.07</v>
      </c>
      <c r="AA223" s="45">
        <v>16.04</v>
      </c>
      <c r="AC223" s="45">
        <v>44.680999999999997</v>
      </c>
      <c r="AE223" s="45">
        <v>83.17</v>
      </c>
      <c r="AG223" s="45">
        <v>26.106999999999999</v>
      </c>
      <c r="AI223" s="45">
        <v>43.598300000000002</v>
      </c>
      <c r="AK223" s="45">
        <v>46.765000000000001</v>
      </c>
      <c r="AM223" s="45">
        <v>74.453000000000003</v>
      </c>
      <c r="AO223" s="45">
        <v>140.14400000000001</v>
      </c>
    </row>
    <row r="224" spans="1:41">
      <c r="A224" s="46">
        <v>45602</v>
      </c>
      <c r="C224" s="45">
        <v>106.69</v>
      </c>
      <c r="E224" s="45">
        <v>58.97</v>
      </c>
      <c r="G224" s="45">
        <v>180.7405</v>
      </c>
      <c r="I224" s="45">
        <v>90.779200000000003</v>
      </c>
      <c r="K224" s="45">
        <v>89.88</v>
      </c>
      <c r="M224" s="45">
        <v>106.93</v>
      </c>
      <c r="O224" s="49">
        <v>109.88800000000001</v>
      </c>
      <c r="Q224" s="45">
        <v>179.37479999999999</v>
      </c>
      <c r="S224" s="45">
        <v>87.9876</v>
      </c>
      <c r="U224" s="45">
        <v>181.53440000000001</v>
      </c>
      <c r="W224" s="45">
        <v>274.31119999999999</v>
      </c>
      <c r="Y224" s="49">
        <v>50.13</v>
      </c>
      <c r="AA224" s="49">
        <v>16.309999999999999</v>
      </c>
      <c r="AC224" s="49">
        <v>45.335999999999999</v>
      </c>
      <c r="AE224" s="49">
        <v>84.24</v>
      </c>
      <c r="AG224" s="49">
        <v>26.567</v>
      </c>
      <c r="AI224" s="49">
        <v>44.191800000000001</v>
      </c>
      <c r="AK224" s="49">
        <v>47.674999999999997</v>
      </c>
      <c r="AM224" s="49">
        <v>75.537000000000006</v>
      </c>
      <c r="AO224" s="45">
        <v>142.376</v>
      </c>
    </row>
    <row r="225" spans="1:41">
      <c r="A225" s="46">
        <v>45603</v>
      </c>
      <c r="C225" s="45">
        <v>105.99</v>
      </c>
      <c r="E225" s="45">
        <v>58.38</v>
      </c>
      <c r="G225" s="45">
        <v>180.1429</v>
      </c>
      <c r="I225" s="45">
        <v>89.956100000000006</v>
      </c>
      <c r="K225" s="45">
        <v>89.2</v>
      </c>
      <c r="M225" s="45">
        <v>105.76</v>
      </c>
      <c r="O225" s="45">
        <v>109.13800000000001</v>
      </c>
      <c r="Q225" s="45">
        <v>178.3956</v>
      </c>
      <c r="S225" s="45">
        <v>87.308800000000005</v>
      </c>
      <c r="U225" s="45">
        <v>179.7961</v>
      </c>
      <c r="W225" s="45">
        <v>272.79300000000001</v>
      </c>
      <c r="Y225" s="45">
        <v>49.87</v>
      </c>
      <c r="AA225" s="45">
        <v>16.13</v>
      </c>
      <c r="AC225" s="45">
        <v>45.209000000000003</v>
      </c>
      <c r="AE225" s="45">
        <v>83.27</v>
      </c>
      <c r="AG225" s="45">
        <v>26.522600000000001</v>
      </c>
      <c r="AI225" s="45">
        <v>44.061700000000002</v>
      </c>
      <c r="AK225" s="45">
        <v>47.247999999999998</v>
      </c>
      <c r="AM225" s="45">
        <v>74.81</v>
      </c>
      <c r="AO225" s="45">
        <v>142.49600000000001</v>
      </c>
    </row>
    <row r="226" spans="1:41">
      <c r="A226" s="46">
        <v>45604</v>
      </c>
      <c r="C226" s="49">
        <v>104.91</v>
      </c>
      <c r="E226" s="49">
        <v>58.26</v>
      </c>
      <c r="G226" s="49">
        <v>178.32509999999999</v>
      </c>
      <c r="I226" s="49">
        <v>89.775499999999994</v>
      </c>
      <c r="K226" s="49">
        <v>88.06</v>
      </c>
      <c r="M226" s="49">
        <v>105.52</v>
      </c>
      <c r="O226" s="86">
        <v>108.605</v>
      </c>
      <c r="Q226" s="49">
        <v>175.9357</v>
      </c>
      <c r="S226" s="49">
        <v>86.972499999999997</v>
      </c>
      <c r="U226" s="49">
        <v>177.57830000000001</v>
      </c>
      <c r="W226" s="49">
        <v>268.91500000000002</v>
      </c>
      <c r="Y226" s="45">
        <v>49.44</v>
      </c>
      <c r="AA226" s="45">
        <v>15.99</v>
      </c>
      <c r="AC226" s="45">
        <v>44.685000000000002</v>
      </c>
      <c r="AE226" s="45">
        <v>82.76</v>
      </c>
      <c r="AG226" s="45">
        <v>26.175899999999999</v>
      </c>
      <c r="AI226" s="45">
        <v>43.500500000000002</v>
      </c>
      <c r="AK226" s="45">
        <v>46.497</v>
      </c>
      <c r="AM226" s="45">
        <v>74.552000000000007</v>
      </c>
      <c r="AO226" s="49">
        <v>140.09100000000001</v>
      </c>
    </row>
    <row r="227" spans="1:41">
      <c r="A227" s="46">
        <v>45605</v>
      </c>
    </row>
    <row r="228" spans="1:41">
      <c r="A228" s="46">
        <v>45606</v>
      </c>
    </row>
    <row r="229" spans="1:41">
      <c r="A229" s="46">
        <v>45607</v>
      </c>
      <c r="C229" s="45">
        <v>103.92</v>
      </c>
      <c r="E229" s="45">
        <v>58.31</v>
      </c>
      <c r="G229" s="45">
        <v>176.8374</v>
      </c>
      <c r="I229" s="45">
        <v>89.505799999999994</v>
      </c>
      <c r="K229" s="45">
        <v>87.46</v>
      </c>
      <c r="M229" s="45">
        <v>105.51</v>
      </c>
      <c r="O229" s="45">
        <v>108.544</v>
      </c>
      <c r="Q229" s="45">
        <v>174.14529999999999</v>
      </c>
      <c r="S229" s="45">
        <v>87.086200000000005</v>
      </c>
      <c r="U229" s="45">
        <v>175.90770000000001</v>
      </c>
      <c r="W229" s="45">
        <v>265.8741</v>
      </c>
      <c r="Y229" s="45">
        <v>48.63</v>
      </c>
      <c r="AA229" s="45">
        <v>15.98</v>
      </c>
      <c r="AC229" s="45">
        <v>44.075000000000003</v>
      </c>
      <c r="AE229" s="45">
        <v>82.5</v>
      </c>
      <c r="AG229" s="45">
        <v>25.878799999999998</v>
      </c>
      <c r="AI229" s="45">
        <v>43.012500000000003</v>
      </c>
      <c r="AK229" s="45">
        <v>46.116999999999997</v>
      </c>
      <c r="AM229" s="45">
        <v>74.475999999999999</v>
      </c>
      <c r="AO229" s="45">
        <v>138.904</v>
      </c>
    </row>
    <row r="230" spans="1:41">
      <c r="A230" s="46">
        <v>45608</v>
      </c>
      <c r="C230" s="45">
        <v>102.93</v>
      </c>
      <c r="E230" s="45">
        <v>57.68</v>
      </c>
      <c r="G230" s="45">
        <v>174.624</v>
      </c>
      <c r="I230" s="45">
        <v>88.420199999999994</v>
      </c>
      <c r="K230" s="45">
        <v>86.41</v>
      </c>
      <c r="M230" s="45">
        <v>104.5</v>
      </c>
      <c r="O230" s="45">
        <v>107.381</v>
      </c>
      <c r="Q230" s="45">
        <v>171.6583</v>
      </c>
      <c r="S230" s="45">
        <v>86.007499999999993</v>
      </c>
      <c r="U230" s="45">
        <v>173.9247</v>
      </c>
      <c r="W230" s="45">
        <v>263.17110000000002</v>
      </c>
      <c r="Y230" s="45">
        <v>48.18</v>
      </c>
      <c r="AA230" s="45">
        <v>15.75</v>
      </c>
      <c r="AC230" s="45">
        <v>43.706000000000003</v>
      </c>
      <c r="AE230" s="45">
        <v>81.58</v>
      </c>
      <c r="AG230" s="45">
        <v>25.652899999999999</v>
      </c>
      <c r="AI230" s="45">
        <v>42.144399999999997</v>
      </c>
      <c r="AK230" s="45">
        <v>45.476999999999997</v>
      </c>
      <c r="AM230" s="45">
        <v>73.787000000000006</v>
      </c>
      <c r="AO230" s="45">
        <v>137.57900000000001</v>
      </c>
    </row>
    <row r="231" spans="1:41">
      <c r="A231" s="46">
        <v>45609</v>
      </c>
      <c r="C231" s="45">
        <v>100.76</v>
      </c>
      <c r="E231" s="45">
        <v>56.89</v>
      </c>
      <c r="G231" s="45">
        <v>171.0497</v>
      </c>
      <c r="I231" s="45">
        <v>86.9649</v>
      </c>
      <c r="K231" s="45">
        <v>84.61</v>
      </c>
      <c r="M231" s="45">
        <v>103.17</v>
      </c>
      <c r="O231" s="45">
        <v>105.72799999999999</v>
      </c>
      <c r="Q231" s="45">
        <v>167.08150000000001</v>
      </c>
      <c r="S231" s="45">
        <v>84.707400000000007</v>
      </c>
      <c r="U231" s="45">
        <v>169.52799999999999</v>
      </c>
      <c r="W231" s="45">
        <v>257.11149999999998</v>
      </c>
      <c r="Y231" s="45">
        <v>46.76</v>
      </c>
      <c r="AA231" s="45">
        <v>15.48</v>
      </c>
      <c r="AC231" s="45">
        <v>42.57</v>
      </c>
      <c r="AE231" s="45">
        <v>80.34</v>
      </c>
      <c r="AG231" s="45">
        <v>25.046800000000001</v>
      </c>
      <c r="AI231" s="45">
        <v>40.867899999999999</v>
      </c>
      <c r="AK231" s="45">
        <v>44.223999999999997</v>
      </c>
      <c r="AM231" s="45">
        <v>72.534999999999997</v>
      </c>
      <c r="AO231" s="45">
        <v>133.95599999999999</v>
      </c>
    </row>
    <row r="232" spans="1:41">
      <c r="A232" s="46">
        <v>45610</v>
      </c>
      <c r="C232" s="45">
        <v>101.44</v>
      </c>
      <c r="E232" s="45">
        <v>57.11</v>
      </c>
      <c r="G232" s="45">
        <v>172.16970000000001</v>
      </c>
      <c r="I232" s="45">
        <v>87.116100000000003</v>
      </c>
      <c r="K232" s="45">
        <v>84.68</v>
      </c>
      <c r="M232" s="45">
        <v>103.26</v>
      </c>
      <c r="O232" s="45">
        <v>105.946</v>
      </c>
      <c r="Q232" s="45">
        <v>168.11670000000001</v>
      </c>
      <c r="S232" s="45">
        <v>84.752499999999998</v>
      </c>
      <c r="U232" s="45">
        <v>170.5608</v>
      </c>
      <c r="W232" s="45">
        <v>260.01369999999997</v>
      </c>
      <c r="Y232" s="45">
        <v>47.17</v>
      </c>
      <c r="AA232" s="45">
        <v>15.54</v>
      </c>
      <c r="AC232" s="45">
        <v>42.761000000000003</v>
      </c>
      <c r="AE232" s="45">
        <v>80.28</v>
      </c>
      <c r="AG232" s="45">
        <v>25.2378</v>
      </c>
      <c r="AI232" s="45">
        <v>41.311100000000003</v>
      </c>
      <c r="AK232" s="45">
        <v>44.548999999999999</v>
      </c>
      <c r="AM232" s="45">
        <v>72.722999999999999</v>
      </c>
      <c r="AO232" s="45">
        <v>134.14699999999999</v>
      </c>
    </row>
    <row r="233" spans="1:41">
      <c r="A233" s="46">
        <v>45611</v>
      </c>
    </row>
    <row r="234" spans="1:41">
      <c r="A234" s="46">
        <v>45612</v>
      </c>
    </row>
    <row r="235" spans="1:41">
      <c r="A235" s="46">
        <v>45613</v>
      </c>
    </row>
    <row r="236" spans="1:41">
      <c r="A236" s="46">
        <v>45614</v>
      </c>
    </row>
    <row r="237" spans="1:41">
      <c r="A237" s="46">
        <v>45615</v>
      </c>
    </row>
    <row r="238" spans="1:41">
      <c r="A238" s="46">
        <v>45616</v>
      </c>
    </row>
    <row r="239" spans="1:41">
      <c r="A239" s="46">
        <v>45617</v>
      </c>
    </row>
    <row r="240" spans="1:41">
      <c r="A240" s="46">
        <v>45618</v>
      </c>
    </row>
    <row r="241" spans="1:1">
      <c r="A241" s="46">
        <v>45619</v>
      </c>
    </row>
    <row r="242" spans="1:1">
      <c r="A242" s="46">
        <v>45620</v>
      </c>
    </row>
    <row r="243" spans="1:1">
      <c r="A243" s="46">
        <v>45621</v>
      </c>
    </row>
    <row r="244" spans="1:1">
      <c r="A244" s="46">
        <v>45622</v>
      </c>
    </row>
    <row r="245" spans="1:1">
      <c r="A245" s="46">
        <v>45623</v>
      </c>
    </row>
    <row r="246" spans="1:1">
      <c r="A246" s="46">
        <v>45624</v>
      </c>
    </row>
    <row r="247" spans="1:1">
      <c r="A247" s="46">
        <v>45625</v>
      </c>
    </row>
    <row r="248" spans="1:1">
      <c r="A248" s="46">
        <v>45626</v>
      </c>
    </row>
    <row r="249" spans="1:1">
      <c r="A249" s="46">
        <v>45627</v>
      </c>
    </row>
    <row r="250" spans="1:1">
      <c r="A250" s="46">
        <v>45628</v>
      </c>
    </row>
    <row r="251" spans="1:1">
      <c r="A251" s="46">
        <v>45629</v>
      </c>
    </row>
    <row r="252" spans="1:1">
      <c r="A252" s="46">
        <v>45630</v>
      </c>
    </row>
    <row r="253" spans="1:1">
      <c r="A253" s="46">
        <v>45631</v>
      </c>
    </row>
    <row r="254" spans="1:1">
      <c r="A254" s="46">
        <v>45632</v>
      </c>
    </row>
    <row r="255" spans="1:1">
      <c r="A255" s="46">
        <v>45633</v>
      </c>
    </row>
    <row r="256" spans="1:1">
      <c r="A256" s="46">
        <v>45634</v>
      </c>
    </row>
    <row r="257" spans="1:1">
      <c r="A257" s="46">
        <v>45635</v>
      </c>
    </row>
    <row r="258" spans="1:1">
      <c r="A258" s="46">
        <v>45636</v>
      </c>
    </row>
    <row r="259" spans="1:1">
      <c r="A259" s="46">
        <v>45637</v>
      </c>
    </row>
    <row r="260" spans="1:1">
      <c r="A260" s="46">
        <v>45638</v>
      </c>
    </row>
    <row r="261" spans="1:1">
      <c r="A261" s="46">
        <v>45639</v>
      </c>
    </row>
    <row r="262" spans="1:1">
      <c r="A262" s="46">
        <v>45640</v>
      </c>
    </row>
    <row r="263" spans="1:1">
      <c r="A263" s="46">
        <v>45641</v>
      </c>
    </row>
    <row r="264" spans="1:1">
      <c r="A264" s="46">
        <v>45642</v>
      </c>
    </row>
    <row r="265" spans="1:1">
      <c r="A265" s="46">
        <v>45643</v>
      </c>
    </row>
    <row r="266" spans="1:1">
      <c r="A266" s="46">
        <v>45644</v>
      </c>
    </row>
    <row r="267" spans="1:1">
      <c r="A267" s="46">
        <v>45645</v>
      </c>
    </row>
    <row r="268" spans="1:1">
      <c r="A268" s="46">
        <v>45646</v>
      </c>
    </row>
    <row r="269" spans="1:1">
      <c r="A269" s="46">
        <v>45647</v>
      </c>
    </row>
    <row r="270" spans="1:1">
      <c r="A270" s="46">
        <v>45648</v>
      </c>
    </row>
    <row r="271" spans="1:1">
      <c r="A271" s="46">
        <v>45649</v>
      </c>
    </row>
    <row r="272" spans="1:1">
      <c r="A272" s="46">
        <v>45650</v>
      </c>
    </row>
    <row r="273" spans="1:1">
      <c r="A273" s="46">
        <v>45651</v>
      </c>
    </row>
    <row r="274" spans="1:1">
      <c r="A274" s="46">
        <v>45652</v>
      </c>
    </row>
    <row r="275" spans="1:1">
      <c r="A275" s="46">
        <v>45653</v>
      </c>
    </row>
    <row r="276" spans="1:1">
      <c r="A276" s="46">
        <v>45654</v>
      </c>
    </row>
    <row r="277" spans="1:1">
      <c r="A277" s="46">
        <v>45655</v>
      </c>
    </row>
    <row r="278" spans="1:1">
      <c r="A278" s="46">
        <v>45656</v>
      </c>
    </row>
    <row r="279" spans="1:1">
      <c r="A279" s="46">
        <v>45657</v>
      </c>
    </row>
    <row r="280" spans="1:1">
      <c r="A280" s="46">
        <v>45658</v>
      </c>
    </row>
    <row r="281" spans="1:1">
      <c r="A281" s="46">
        <v>45659</v>
      </c>
    </row>
    <row r="282" spans="1:1">
      <c r="A282" s="46">
        <v>45660</v>
      </c>
    </row>
    <row r="283" spans="1:1">
      <c r="A283" s="46">
        <v>45661</v>
      </c>
    </row>
    <row r="284" spans="1:1">
      <c r="A284" s="46">
        <v>45662</v>
      </c>
    </row>
    <row r="285" spans="1:1">
      <c r="A285" s="46">
        <v>45663</v>
      </c>
    </row>
    <row r="286" spans="1:1">
      <c r="A286" s="46">
        <v>45664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6"/>
  <sheetViews>
    <sheetView topLeftCell="A628" workbookViewId="0">
      <selection activeCell="G647" sqref="G647"/>
    </sheetView>
  </sheetViews>
  <sheetFormatPr defaultRowHeight="15"/>
  <cols>
    <col min="1" max="1" width="15.42578125" customWidth="1"/>
    <col min="2" max="2" width="81" bestFit="1" customWidth="1"/>
    <col min="3" max="3" width="11.140625" bestFit="1" customWidth="1"/>
    <col min="4" max="4" width="13.28515625" bestFit="1" customWidth="1"/>
  </cols>
  <sheetData>
    <row r="1" spans="1:8" ht="17.25" thickBot="1">
      <c r="A1" s="2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4"/>
      <c r="G1" s="4"/>
      <c r="H1" s="4"/>
    </row>
    <row r="2" spans="1:8" ht="17.25" thickBot="1">
      <c r="A2" s="5" t="s">
        <v>10</v>
      </c>
      <c r="B2" s="6" t="s">
        <v>6</v>
      </c>
      <c r="C2" s="6" t="s">
        <v>7</v>
      </c>
      <c r="D2" s="6" t="s">
        <v>8</v>
      </c>
      <c r="E2" s="6" t="s">
        <v>9</v>
      </c>
      <c r="F2" s="4"/>
      <c r="G2" s="4"/>
      <c r="H2" s="4"/>
    </row>
    <row r="3" spans="1:8" ht="17.25" thickBot="1">
      <c r="A3" s="5" t="s">
        <v>11</v>
      </c>
      <c r="B3" s="7" t="s">
        <v>12</v>
      </c>
      <c r="C3" s="8">
        <v>1000</v>
      </c>
      <c r="D3" s="8">
        <v>13.728999999999999</v>
      </c>
      <c r="E3" s="8">
        <f>C3/D3</f>
        <v>72.838517007793726</v>
      </c>
      <c r="F3" s="4"/>
      <c r="G3" s="4"/>
      <c r="H3" s="4"/>
    </row>
    <row r="4" spans="1:8" ht="17.25" thickBot="1">
      <c r="A4" s="5" t="s">
        <v>13</v>
      </c>
      <c r="B4" s="7" t="s">
        <v>14</v>
      </c>
      <c r="C4" s="8">
        <v>1000</v>
      </c>
      <c r="D4" s="8">
        <v>10.023999999999999</v>
      </c>
      <c r="E4" s="8">
        <f t="shared" ref="E4:E9" si="0">C4/D4</f>
        <v>99.760574620909821</v>
      </c>
      <c r="F4" s="4"/>
      <c r="G4" s="4"/>
      <c r="H4" s="4"/>
    </row>
    <row r="5" spans="1:8" ht="17.25" thickBot="1">
      <c r="A5" s="5" t="s">
        <v>15</v>
      </c>
      <c r="B5" s="7" t="s">
        <v>16</v>
      </c>
      <c r="C5" s="8">
        <v>1000</v>
      </c>
      <c r="D5" s="8">
        <v>17.518999999999998</v>
      </c>
      <c r="E5" s="8">
        <f t="shared" si="0"/>
        <v>57.080883612078317</v>
      </c>
      <c r="F5" s="4"/>
      <c r="G5" s="4"/>
      <c r="H5" s="4"/>
    </row>
    <row r="6" spans="1:8" ht="17.25" thickBot="1">
      <c r="A6" s="5" t="s">
        <v>17</v>
      </c>
      <c r="B6" s="7" t="s">
        <v>18</v>
      </c>
      <c r="C6" s="8">
        <v>1000</v>
      </c>
      <c r="D6" s="8">
        <v>20.315999999999999</v>
      </c>
      <c r="E6" s="8">
        <f t="shared" si="0"/>
        <v>49.222287851939363</v>
      </c>
      <c r="F6" s="4"/>
      <c r="G6" s="4"/>
      <c r="H6" s="4"/>
    </row>
    <row r="7" spans="1:8" ht="17.25" thickBot="1">
      <c r="A7" s="5" t="s">
        <v>19</v>
      </c>
      <c r="B7" s="7" t="s">
        <v>20</v>
      </c>
      <c r="C7" s="8">
        <v>1000</v>
      </c>
      <c r="D7" s="8">
        <v>15.992000000000001</v>
      </c>
      <c r="E7" s="8">
        <f t="shared" si="0"/>
        <v>62.531265632816407</v>
      </c>
      <c r="F7" s="4"/>
      <c r="G7" s="4"/>
      <c r="H7" s="4"/>
    </row>
    <row r="8" spans="1:8" ht="17.25" thickBot="1">
      <c r="A8" s="5" t="s">
        <v>21</v>
      </c>
      <c r="B8" s="7" t="s">
        <v>22</v>
      </c>
      <c r="C8" s="8">
        <v>1000</v>
      </c>
      <c r="D8" s="8">
        <v>24.581</v>
      </c>
      <c r="E8" s="8">
        <f t="shared" si="0"/>
        <v>40.681827427688056</v>
      </c>
      <c r="F8" s="4"/>
      <c r="G8" s="4"/>
      <c r="H8" s="4"/>
    </row>
    <row r="9" spans="1:8" ht="17.25" thickBot="1">
      <c r="A9" s="5" t="s">
        <v>23</v>
      </c>
      <c r="B9" s="7" t="s">
        <v>24</v>
      </c>
      <c r="C9" s="8">
        <v>1000</v>
      </c>
      <c r="D9" s="8">
        <v>17.530999999999999</v>
      </c>
      <c r="E9" s="8">
        <f t="shared" si="0"/>
        <v>57.041811647937941</v>
      </c>
      <c r="F9" s="4"/>
      <c r="G9" s="4"/>
      <c r="H9" s="4"/>
    </row>
    <row r="10" spans="1:8" ht="17.25" thickBot="1">
      <c r="A10" s="4"/>
      <c r="B10" s="4"/>
      <c r="C10" s="4"/>
      <c r="D10" s="4"/>
      <c r="E10" s="9"/>
      <c r="F10" s="4"/>
      <c r="G10" s="4"/>
      <c r="H10" s="4"/>
    </row>
    <row r="11" spans="1:8" ht="17.25" thickBot="1">
      <c r="A11" s="10" t="s">
        <v>25</v>
      </c>
      <c r="B11" s="3" t="s">
        <v>6</v>
      </c>
      <c r="C11" s="3" t="s">
        <v>7</v>
      </c>
      <c r="D11" s="3" t="s">
        <v>8</v>
      </c>
      <c r="E11" s="3" t="s">
        <v>9</v>
      </c>
      <c r="F11" s="4"/>
      <c r="G11" s="4"/>
      <c r="H11" s="4"/>
    </row>
    <row r="12" spans="1:8" ht="17.25" thickBot="1">
      <c r="A12" s="5" t="s">
        <v>11</v>
      </c>
      <c r="B12" s="7" t="s">
        <v>12</v>
      </c>
      <c r="C12" s="8">
        <v>1000</v>
      </c>
      <c r="D12" s="8">
        <v>13.598000000000001</v>
      </c>
      <c r="E12" s="8">
        <f t="shared" ref="E12:E18" si="1">C12/D12</f>
        <v>73.540226503897628</v>
      </c>
      <c r="F12" s="4"/>
      <c r="G12" s="4"/>
      <c r="H12" s="4"/>
    </row>
    <row r="13" spans="1:8" ht="17.25" thickBot="1">
      <c r="A13" s="5" t="s">
        <v>13</v>
      </c>
      <c r="B13" s="7" t="s">
        <v>14</v>
      </c>
      <c r="C13" s="8">
        <v>1000</v>
      </c>
      <c r="D13" s="8">
        <v>9.9770000000000003</v>
      </c>
      <c r="E13" s="8">
        <f t="shared" si="1"/>
        <v>100.23053021950486</v>
      </c>
      <c r="F13" s="4"/>
      <c r="G13" s="4"/>
      <c r="H13" s="4"/>
    </row>
    <row r="14" spans="1:8" ht="17.25" thickBot="1">
      <c r="A14" s="5" t="s">
        <v>15</v>
      </c>
      <c r="B14" s="7" t="s">
        <v>16</v>
      </c>
      <c r="C14" s="8">
        <v>1000</v>
      </c>
      <c r="D14" s="8">
        <v>17.337</v>
      </c>
      <c r="E14" s="8">
        <f t="shared" si="1"/>
        <v>57.680106131395284</v>
      </c>
      <c r="F14" s="4"/>
      <c r="G14" s="4"/>
      <c r="H14" s="4"/>
    </row>
    <row r="15" spans="1:8" ht="17.25" thickBot="1">
      <c r="A15" s="5" t="s">
        <v>17</v>
      </c>
      <c r="B15" s="7" t="s">
        <v>18</v>
      </c>
      <c r="C15" s="8">
        <v>1000</v>
      </c>
      <c r="D15" s="8">
        <v>19.835999999999999</v>
      </c>
      <c r="E15" s="8">
        <f t="shared" si="1"/>
        <v>50.413389796329909</v>
      </c>
      <c r="F15" s="4"/>
      <c r="G15" s="4"/>
      <c r="H15" s="4"/>
    </row>
    <row r="16" spans="1:8" ht="17.25" thickBot="1">
      <c r="A16" s="5" t="s">
        <v>19</v>
      </c>
      <c r="B16" s="7" t="s">
        <v>20</v>
      </c>
      <c r="C16" s="8">
        <v>1000</v>
      </c>
      <c r="D16" s="8">
        <v>16.087</v>
      </c>
      <c r="E16" s="8">
        <f t="shared" si="1"/>
        <v>62.16199415677255</v>
      </c>
      <c r="F16" s="4"/>
      <c r="G16" s="4"/>
      <c r="H16" s="4"/>
    </row>
    <row r="17" spans="1:8" ht="17.25" thickBot="1">
      <c r="A17" s="5" t="s">
        <v>23</v>
      </c>
      <c r="B17" s="7" t="s">
        <v>24</v>
      </c>
      <c r="C17" s="8">
        <v>1000</v>
      </c>
      <c r="D17" s="8">
        <v>17.43</v>
      </c>
      <c r="E17" s="8">
        <f t="shared" si="1"/>
        <v>57.372346528973033</v>
      </c>
      <c r="F17" s="4"/>
      <c r="G17" s="4"/>
      <c r="H17" s="4"/>
    </row>
    <row r="18" spans="1:8" ht="17.25" thickBot="1">
      <c r="A18" s="5" t="s">
        <v>21</v>
      </c>
      <c r="B18" s="7" t="s">
        <v>22</v>
      </c>
      <c r="C18" s="8">
        <v>1000</v>
      </c>
      <c r="D18" s="8">
        <v>24.672000000000001</v>
      </c>
      <c r="E18" s="8">
        <f t="shared" si="1"/>
        <v>40.531776913099868</v>
      </c>
      <c r="F18" s="4"/>
      <c r="G18" s="4"/>
      <c r="H18" s="4"/>
    </row>
    <row r="19" spans="1:8" ht="17.25" thickBot="1">
      <c r="A19" s="4"/>
      <c r="B19" s="4"/>
      <c r="C19" s="4"/>
      <c r="D19" s="4"/>
      <c r="E19" s="5"/>
      <c r="F19" s="4"/>
      <c r="G19" s="4"/>
      <c r="H19" s="4"/>
    </row>
    <row r="20" spans="1:8" ht="17.25" thickBot="1">
      <c r="A20" s="10" t="s">
        <v>26</v>
      </c>
      <c r="B20" s="3" t="s">
        <v>6</v>
      </c>
      <c r="C20" s="3" t="s">
        <v>7</v>
      </c>
      <c r="D20" s="3" t="s">
        <v>8</v>
      </c>
      <c r="E20" s="6" t="s">
        <v>9</v>
      </c>
      <c r="F20" s="4"/>
      <c r="G20" s="4"/>
      <c r="H20" s="4"/>
    </row>
    <row r="21" spans="1:8" ht="17.25" thickBot="1">
      <c r="A21" s="5" t="s">
        <v>11</v>
      </c>
      <c r="B21" s="7" t="s">
        <v>12</v>
      </c>
      <c r="C21" s="8">
        <v>1000</v>
      </c>
      <c r="D21" s="8">
        <v>12.843</v>
      </c>
      <c r="E21" s="8">
        <f t="shared" ref="E21:E27" si="2">C21/D21</f>
        <v>77.863427548080665</v>
      </c>
      <c r="F21" s="4"/>
      <c r="G21" s="4"/>
      <c r="H21" s="4"/>
    </row>
    <row r="22" spans="1:8" ht="17.25" thickBot="1">
      <c r="A22" s="5" t="s">
        <v>13</v>
      </c>
      <c r="B22" s="7" t="s">
        <v>14</v>
      </c>
      <c r="C22" s="8">
        <v>1000</v>
      </c>
      <c r="D22" s="8">
        <v>9.1319999999999997</v>
      </c>
      <c r="E22" s="8">
        <f t="shared" si="2"/>
        <v>109.50503723171266</v>
      </c>
      <c r="F22" s="4"/>
      <c r="G22" s="4"/>
      <c r="H22" s="4"/>
    </row>
    <row r="23" spans="1:8" ht="17.25" thickBot="1">
      <c r="A23" s="5" t="s">
        <v>15</v>
      </c>
      <c r="B23" s="7" t="s">
        <v>16</v>
      </c>
      <c r="C23" s="8">
        <v>1000</v>
      </c>
      <c r="D23" s="8">
        <v>16.268999999999998</v>
      </c>
      <c r="E23" s="8">
        <f t="shared" si="2"/>
        <v>61.466592906755182</v>
      </c>
      <c r="F23" s="4"/>
      <c r="G23" s="4"/>
      <c r="H23" s="4"/>
    </row>
    <row r="24" spans="1:8" ht="17.25" thickBot="1">
      <c r="A24" s="5" t="s">
        <v>17</v>
      </c>
      <c r="B24" s="7" t="s">
        <v>18</v>
      </c>
      <c r="C24" s="8">
        <v>1000</v>
      </c>
      <c r="D24" s="8">
        <v>19.058</v>
      </c>
      <c r="E24" s="8">
        <f t="shared" si="2"/>
        <v>52.471403085318499</v>
      </c>
      <c r="F24" s="4"/>
      <c r="G24" s="4"/>
      <c r="H24" s="4"/>
    </row>
    <row r="25" spans="1:8" ht="17.25" thickBot="1">
      <c r="A25" s="5" t="s">
        <v>19</v>
      </c>
      <c r="B25" s="7" t="s">
        <v>20</v>
      </c>
      <c r="C25" s="8">
        <v>1000</v>
      </c>
      <c r="D25" s="8">
        <v>15.053000000000001</v>
      </c>
      <c r="E25" s="8">
        <f t="shared" si="2"/>
        <v>66.431940476981325</v>
      </c>
      <c r="F25" s="4"/>
      <c r="G25" s="4"/>
      <c r="H25" s="4"/>
    </row>
    <row r="26" spans="1:8" ht="17.25" thickBot="1">
      <c r="A26" s="5" t="s">
        <v>21</v>
      </c>
      <c r="B26" s="7" t="s">
        <v>22</v>
      </c>
      <c r="C26" s="8">
        <v>1000</v>
      </c>
      <c r="D26" s="8">
        <v>22.742000000000001</v>
      </c>
      <c r="E26" s="8">
        <f t="shared" si="2"/>
        <v>43.971506463811451</v>
      </c>
      <c r="F26" s="4"/>
      <c r="G26" s="4"/>
      <c r="H26" s="4"/>
    </row>
    <row r="27" spans="1:8" ht="17.25" thickBot="1">
      <c r="A27" s="5" t="s">
        <v>23</v>
      </c>
      <c r="B27" s="7" t="s">
        <v>24</v>
      </c>
      <c r="C27" s="8">
        <v>1000</v>
      </c>
      <c r="D27" s="8">
        <v>16.216999999999999</v>
      </c>
      <c r="E27" s="8">
        <f t="shared" si="2"/>
        <v>61.663686255164336</v>
      </c>
      <c r="F27" s="4"/>
      <c r="G27" s="4"/>
      <c r="H27" s="4"/>
    </row>
    <row r="28" spans="1:8" ht="17.25" thickBot="1">
      <c r="A28" s="4"/>
      <c r="B28" s="4"/>
      <c r="C28" s="4"/>
      <c r="D28" s="4"/>
      <c r="E28" s="4"/>
      <c r="F28" s="4"/>
      <c r="G28" s="4"/>
      <c r="H28" s="4"/>
    </row>
    <row r="29" spans="1:8" ht="17.25" thickBot="1">
      <c r="A29" s="10" t="s">
        <v>27</v>
      </c>
      <c r="B29" s="3" t="s">
        <v>6</v>
      </c>
      <c r="C29" s="3" t="s">
        <v>7</v>
      </c>
      <c r="D29" s="3" t="s">
        <v>8</v>
      </c>
      <c r="E29" s="3" t="s">
        <v>9</v>
      </c>
      <c r="F29" s="4"/>
      <c r="G29" s="4"/>
      <c r="H29" s="4"/>
    </row>
    <row r="30" spans="1:8" ht="17.25" thickBot="1">
      <c r="A30" s="11" t="s">
        <v>11</v>
      </c>
      <c r="B30" s="12" t="s">
        <v>12</v>
      </c>
      <c r="C30" s="13">
        <v>1000</v>
      </c>
      <c r="D30" s="13">
        <v>12.587999999999999</v>
      </c>
      <c r="E30" s="8">
        <f t="shared" ref="E30:E36" si="3">C30/D30</f>
        <v>79.44073721004132</v>
      </c>
      <c r="F30" s="4"/>
      <c r="G30" s="4"/>
      <c r="H30" s="4"/>
    </row>
    <row r="31" spans="1:8" ht="17.25" thickBot="1">
      <c r="A31" s="11" t="s">
        <v>13</v>
      </c>
      <c r="B31" s="12" t="s">
        <v>14</v>
      </c>
      <c r="C31" s="13">
        <v>1000</v>
      </c>
      <c r="D31" s="13">
        <v>8.5510000000000002</v>
      </c>
      <c r="E31" s="8">
        <f t="shared" si="3"/>
        <v>116.94538650450239</v>
      </c>
      <c r="F31" s="4"/>
      <c r="G31" s="4"/>
      <c r="H31" s="4"/>
    </row>
    <row r="32" spans="1:8" ht="17.25" thickBot="1">
      <c r="A32" s="11" t="s">
        <v>15</v>
      </c>
      <c r="B32" s="12" t="s">
        <v>16</v>
      </c>
      <c r="C32" s="13">
        <v>1000</v>
      </c>
      <c r="D32" s="13">
        <v>15.773999999999999</v>
      </c>
      <c r="E32" s="8">
        <f t="shared" si="3"/>
        <v>63.395460885000638</v>
      </c>
      <c r="F32" s="4"/>
      <c r="G32" s="4"/>
      <c r="H32" s="4"/>
    </row>
    <row r="33" spans="1:8" ht="17.25" thickBot="1">
      <c r="A33" s="11" t="s">
        <v>17</v>
      </c>
      <c r="B33" s="12" t="s">
        <v>18</v>
      </c>
      <c r="C33" s="13">
        <v>1000</v>
      </c>
      <c r="D33" s="13">
        <v>18.193999999999999</v>
      </c>
      <c r="E33" s="8">
        <f t="shared" si="3"/>
        <v>54.96317467296911</v>
      </c>
      <c r="F33" s="4"/>
      <c r="G33" s="4"/>
      <c r="H33" s="4"/>
    </row>
    <row r="34" spans="1:8" ht="17.25" thickBot="1">
      <c r="A34" s="11" t="s">
        <v>19</v>
      </c>
      <c r="B34" s="12" t="s">
        <v>20</v>
      </c>
      <c r="C34" s="13">
        <v>1000</v>
      </c>
      <c r="D34" s="13">
        <v>14.707000000000001</v>
      </c>
      <c r="E34" s="8">
        <f t="shared" si="3"/>
        <v>67.994832392738147</v>
      </c>
      <c r="F34" s="4"/>
      <c r="G34" s="4"/>
      <c r="H34" s="4"/>
    </row>
    <row r="35" spans="1:8" ht="17.25" thickBot="1">
      <c r="A35" s="11" t="s">
        <v>21</v>
      </c>
      <c r="B35" s="12" t="s">
        <v>22</v>
      </c>
      <c r="C35" s="13">
        <v>1000</v>
      </c>
      <c r="D35" s="13">
        <v>22.4</v>
      </c>
      <c r="E35" s="8">
        <f t="shared" si="3"/>
        <v>44.642857142857146</v>
      </c>
      <c r="F35" s="4"/>
      <c r="G35" s="4"/>
      <c r="H35" s="4"/>
    </row>
    <row r="36" spans="1:8" ht="17.25" thickBot="1">
      <c r="A36" s="11" t="s">
        <v>23</v>
      </c>
      <c r="B36" s="12" t="s">
        <v>24</v>
      </c>
      <c r="C36" s="13">
        <v>1000</v>
      </c>
      <c r="D36" s="13"/>
      <c r="E36" s="8" t="e">
        <f t="shared" si="3"/>
        <v>#DIV/0!</v>
      </c>
      <c r="F36" s="4"/>
      <c r="G36" s="4"/>
      <c r="H36" s="4"/>
    </row>
    <row r="37" spans="1:8" ht="17.25" thickBot="1">
      <c r="A37" s="4"/>
      <c r="B37" s="4"/>
      <c r="C37" s="4"/>
      <c r="D37" s="4"/>
      <c r="E37" s="4"/>
      <c r="F37" s="4"/>
      <c r="G37" s="4"/>
      <c r="H37" s="4"/>
    </row>
    <row r="38" spans="1:8" ht="17.25" thickBot="1">
      <c r="A38" s="14" t="s">
        <v>28</v>
      </c>
      <c r="B38" s="3" t="s">
        <v>6</v>
      </c>
      <c r="C38" s="3" t="s">
        <v>7</v>
      </c>
      <c r="D38" s="3" t="s">
        <v>8</v>
      </c>
      <c r="E38" s="3" t="s">
        <v>9</v>
      </c>
      <c r="F38" s="4"/>
      <c r="G38" s="4"/>
      <c r="H38" s="4"/>
    </row>
    <row r="39" spans="1:8" ht="17.25" thickBot="1">
      <c r="A39" s="5" t="s">
        <v>13</v>
      </c>
      <c r="B39" s="7" t="s">
        <v>14</v>
      </c>
      <c r="C39" s="8">
        <v>1000</v>
      </c>
      <c r="D39" s="8">
        <v>8.6839999999999993</v>
      </c>
      <c r="E39" s="8">
        <f t="shared" ref="E39:E45" si="4">C39/D39</f>
        <v>115.15430677107325</v>
      </c>
      <c r="F39" s="4"/>
      <c r="G39" s="4"/>
      <c r="H39" s="4"/>
    </row>
    <row r="40" spans="1:8" ht="17.25" thickBot="1">
      <c r="A40" s="5" t="s">
        <v>15</v>
      </c>
      <c r="B40" s="7" t="s">
        <v>16</v>
      </c>
      <c r="C40" s="8">
        <v>1000</v>
      </c>
      <c r="D40" s="8">
        <v>16.344000000000001</v>
      </c>
      <c r="E40" s="8">
        <f t="shared" si="4"/>
        <v>61.184532550171312</v>
      </c>
      <c r="F40" s="4"/>
      <c r="G40" s="4"/>
      <c r="H40" s="4"/>
    </row>
    <row r="41" spans="1:8" ht="17.25" thickBot="1">
      <c r="A41" s="5" t="s">
        <v>17</v>
      </c>
      <c r="B41" s="7" t="s">
        <v>18</v>
      </c>
      <c r="C41" s="8">
        <v>1000</v>
      </c>
      <c r="D41" s="8">
        <v>18.513999999999999</v>
      </c>
      <c r="E41" s="8">
        <f t="shared" si="4"/>
        <v>54.013179215728641</v>
      </c>
      <c r="F41" s="4"/>
      <c r="G41" s="4"/>
      <c r="H41" s="4"/>
    </row>
    <row r="42" spans="1:8" ht="17.25" thickBot="1">
      <c r="A42" s="5" t="s">
        <v>19</v>
      </c>
      <c r="B42" s="7" t="s">
        <v>20</v>
      </c>
      <c r="C42" s="8">
        <v>1000</v>
      </c>
      <c r="D42" s="8">
        <v>15.064</v>
      </c>
      <c r="E42" s="8">
        <f t="shared" si="4"/>
        <v>66.383430695698351</v>
      </c>
      <c r="F42" s="4"/>
      <c r="G42" s="4"/>
      <c r="H42" s="4"/>
    </row>
    <row r="43" spans="1:8" ht="17.25" thickBot="1">
      <c r="A43" s="5" t="s">
        <v>21</v>
      </c>
      <c r="B43" s="7" t="s">
        <v>22</v>
      </c>
      <c r="C43" s="8">
        <v>1000</v>
      </c>
      <c r="D43" s="8">
        <v>22.998000000000001</v>
      </c>
      <c r="E43" s="8">
        <f t="shared" si="4"/>
        <v>43.482041916688402</v>
      </c>
      <c r="F43" s="4"/>
      <c r="G43" s="4"/>
      <c r="H43" s="4"/>
    </row>
    <row r="44" spans="1:8" ht="17.25" thickBot="1">
      <c r="A44" s="5" t="s">
        <v>23</v>
      </c>
      <c r="B44" s="7" t="s">
        <v>24</v>
      </c>
      <c r="C44" s="8">
        <v>1000</v>
      </c>
      <c r="D44" s="8">
        <v>15.69</v>
      </c>
      <c r="E44" s="8">
        <f t="shared" si="4"/>
        <v>63.734862970044617</v>
      </c>
      <c r="F44" s="4"/>
      <c r="G44" s="4"/>
      <c r="H44" s="4"/>
    </row>
    <row r="45" spans="1:8" ht="17.25" thickBot="1">
      <c r="A45" s="5" t="s">
        <v>11</v>
      </c>
      <c r="B45" s="7" t="s">
        <v>12</v>
      </c>
      <c r="C45" s="8">
        <v>1000</v>
      </c>
      <c r="D45" s="8">
        <v>12.881</v>
      </c>
      <c r="E45" s="8">
        <f t="shared" si="4"/>
        <v>77.633724089744589</v>
      </c>
      <c r="F45" s="4"/>
      <c r="G45" s="4"/>
      <c r="H45" s="4"/>
    </row>
    <row r="46" spans="1:8" ht="16.5">
      <c r="A46" s="4"/>
      <c r="B46" s="4"/>
      <c r="C46" s="4"/>
      <c r="D46" s="4"/>
      <c r="E46" s="4"/>
      <c r="F46" s="4"/>
      <c r="G46" s="4"/>
      <c r="H46" s="4"/>
    </row>
    <row r="47" spans="1:8" ht="17.25" thickBot="1">
      <c r="A47" s="4"/>
      <c r="B47" s="4"/>
      <c r="C47" s="4"/>
      <c r="D47" s="4"/>
      <c r="E47" s="4"/>
      <c r="F47" s="4"/>
      <c r="G47" s="4"/>
      <c r="H47" s="4"/>
    </row>
    <row r="48" spans="1:8" ht="17.25" thickBot="1">
      <c r="A48" s="14" t="s">
        <v>29</v>
      </c>
      <c r="B48" s="3" t="s">
        <v>6</v>
      </c>
      <c r="C48" s="3" t="s">
        <v>7</v>
      </c>
      <c r="D48" s="3" t="s">
        <v>8</v>
      </c>
      <c r="E48" s="3" t="s">
        <v>9</v>
      </c>
      <c r="F48" s="4"/>
      <c r="G48" s="4"/>
      <c r="H48" s="4"/>
    </row>
    <row r="49" spans="1:8" ht="17.25" thickBot="1">
      <c r="A49" s="5" t="s">
        <v>13</v>
      </c>
      <c r="B49" s="7" t="s">
        <v>14</v>
      </c>
      <c r="C49" s="8">
        <v>1000</v>
      </c>
      <c r="D49" s="8">
        <v>8.6809999999999992</v>
      </c>
      <c r="E49" s="8">
        <f t="shared" ref="E49" si="5">C49/D49</f>
        <v>115.19410206197443</v>
      </c>
      <c r="F49" s="4"/>
      <c r="G49" s="4"/>
      <c r="H49" s="4"/>
    </row>
    <row r="50" spans="1:8" ht="17.25" thickBot="1">
      <c r="A50" s="5" t="s">
        <v>15</v>
      </c>
      <c r="B50" s="7" t="s">
        <v>16</v>
      </c>
      <c r="C50" s="8">
        <v>1000</v>
      </c>
      <c r="D50" s="8">
        <v>15.612</v>
      </c>
      <c r="E50" s="8">
        <v>64.053292339999999</v>
      </c>
      <c r="F50" s="4"/>
      <c r="G50" s="4"/>
      <c r="H50" s="4"/>
    </row>
    <row r="51" spans="1:8" ht="17.25" thickBot="1">
      <c r="A51" s="5" t="s">
        <v>17</v>
      </c>
      <c r="B51" s="7" t="s">
        <v>18</v>
      </c>
      <c r="C51" s="8">
        <v>1000</v>
      </c>
      <c r="D51" s="8">
        <v>18.303999999999998</v>
      </c>
      <c r="E51" s="8">
        <v>54.632867130000001</v>
      </c>
      <c r="F51" s="4"/>
      <c r="G51" s="4"/>
      <c r="H51" s="4"/>
    </row>
    <row r="52" spans="1:8" ht="17.25" thickBot="1">
      <c r="A52" s="5" t="s">
        <v>19</v>
      </c>
      <c r="B52" s="7" t="s">
        <v>20</v>
      </c>
      <c r="C52" s="8">
        <v>1000</v>
      </c>
      <c r="D52" s="8">
        <v>14.4</v>
      </c>
      <c r="E52" s="8">
        <v>69.444444439999998</v>
      </c>
      <c r="F52" s="4"/>
      <c r="G52" s="4"/>
      <c r="H52" s="4"/>
    </row>
    <row r="53" spans="1:8" ht="17.25" thickBot="1">
      <c r="A53" s="5" t="s">
        <v>21</v>
      </c>
      <c r="B53" s="7" t="s">
        <v>22</v>
      </c>
      <c r="C53" s="8">
        <v>1000</v>
      </c>
      <c r="D53" s="8">
        <v>22.495999999999999</v>
      </c>
      <c r="E53" s="8">
        <v>44.452347080000003</v>
      </c>
      <c r="F53" s="4"/>
      <c r="G53" s="4"/>
      <c r="H53" s="4"/>
    </row>
    <row r="54" spans="1:8" ht="17.25" thickBot="1">
      <c r="A54" s="5" t="s">
        <v>23</v>
      </c>
      <c r="B54" s="7" t="s">
        <v>24</v>
      </c>
      <c r="C54" s="8">
        <v>1000</v>
      </c>
      <c r="D54" s="8">
        <v>15.72</v>
      </c>
      <c r="E54" s="8">
        <v>63.613231550000002</v>
      </c>
      <c r="F54" s="4"/>
      <c r="G54" s="4"/>
      <c r="H54" s="4"/>
    </row>
    <row r="55" spans="1:8" ht="17.25" thickBot="1">
      <c r="A55" s="5" t="s">
        <v>11</v>
      </c>
      <c r="B55" s="7" t="s">
        <v>12</v>
      </c>
      <c r="C55" s="8">
        <v>1000</v>
      </c>
      <c r="D55" s="8">
        <v>12.432</v>
      </c>
      <c r="E55" s="8">
        <v>80.437580440000005</v>
      </c>
      <c r="F55" s="4"/>
      <c r="G55" s="4"/>
      <c r="H55" s="4"/>
    </row>
    <row r="56" spans="1:8" ht="16.5">
      <c r="A56" s="4"/>
      <c r="B56" s="4"/>
      <c r="C56" s="4"/>
      <c r="D56" s="4"/>
      <c r="E56" s="4"/>
      <c r="F56" s="4"/>
      <c r="G56" s="4"/>
      <c r="H56" s="4"/>
    </row>
    <row r="57" spans="1:8" ht="17.25" thickBot="1">
      <c r="A57" s="4"/>
      <c r="B57" s="4"/>
      <c r="C57" s="4"/>
      <c r="D57" s="4"/>
      <c r="E57" s="4"/>
      <c r="F57" s="4"/>
      <c r="G57" s="4"/>
      <c r="H57" s="4"/>
    </row>
    <row r="58" spans="1:8" ht="17.25" thickBot="1">
      <c r="A58" s="10" t="s">
        <v>30</v>
      </c>
      <c r="B58" s="3" t="s">
        <v>6</v>
      </c>
      <c r="C58" s="3" t="s">
        <v>7</v>
      </c>
      <c r="D58" s="3" t="s">
        <v>8</v>
      </c>
      <c r="E58" s="3" t="s">
        <v>9</v>
      </c>
      <c r="F58" s="4"/>
      <c r="G58" s="4"/>
      <c r="H58" s="4"/>
    </row>
    <row r="59" spans="1:8" ht="17.25" thickBot="1">
      <c r="A59" s="5" t="s">
        <v>11</v>
      </c>
      <c r="B59" s="7" t="s">
        <v>12</v>
      </c>
      <c r="C59" s="8">
        <v>1000</v>
      </c>
      <c r="D59" s="8">
        <v>12.118</v>
      </c>
      <c r="E59" s="8">
        <f t="shared" ref="E59" si="6">C59/D59</f>
        <v>82.521868295098201</v>
      </c>
      <c r="F59" s="4"/>
      <c r="G59" s="4"/>
      <c r="H59" s="4"/>
    </row>
    <row r="60" spans="1:8" ht="17.25" thickBot="1">
      <c r="A60" s="5" t="s">
        <v>13</v>
      </c>
      <c r="B60" s="7" t="s">
        <v>14</v>
      </c>
      <c r="C60" s="8">
        <v>1000</v>
      </c>
      <c r="D60" s="8">
        <v>8.5449999999999999</v>
      </c>
      <c r="E60" s="8">
        <v>117.0275015</v>
      </c>
      <c r="F60" s="4"/>
      <c r="G60" s="4"/>
      <c r="H60" s="4"/>
    </row>
    <row r="61" spans="1:8" ht="17.25" thickBot="1">
      <c r="A61" s="5" t="s">
        <v>15</v>
      </c>
      <c r="B61" s="7" t="s">
        <v>16</v>
      </c>
      <c r="C61" s="8">
        <v>1000</v>
      </c>
      <c r="D61" s="8">
        <v>15.395</v>
      </c>
      <c r="E61" s="8">
        <v>64.956154600000005</v>
      </c>
      <c r="F61" s="4"/>
      <c r="G61" s="4"/>
      <c r="H61" s="4"/>
    </row>
    <row r="62" spans="1:8" ht="17.25" thickBot="1">
      <c r="A62" s="5" t="s">
        <v>17</v>
      </c>
      <c r="B62" s="7" t="s">
        <v>18</v>
      </c>
      <c r="C62" s="8">
        <v>1000</v>
      </c>
      <c r="D62" s="8">
        <v>18.231000000000002</v>
      </c>
      <c r="E62" s="8">
        <v>54.851626349999997</v>
      </c>
      <c r="F62" s="4"/>
      <c r="G62" s="4"/>
      <c r="H62" s="4"/>
    </row>
    <row r="63" spans="1:8" ht="17.25" thickBot="1">
      <c r="A63" s="5" t="s">
        <v>19</v>
      </c>
      <c r="B63" s="7" t="s">
        <v>20</v>
      </c>
      <c r="C63" s="8">
        <v>1000</v>
      </c>
      <c r="D63" s="8">
        <v>14.087999999999999</v>
      </c>
      <c r="E63" s="8">
        <v>70.982396370000004</v>
      </c>
      <c r="F63" s="4"/>
      <c r="G63" s="4"/>
      <c r="H63" s="4"/>
    </row>
    <row r="64" spans="1:8" ht="17.25" thickBot="1">
      <c r="A64" s="5" t="s">
        <v>21</v>
      </c>
      <c r="B64" s="7" t="s">
        <v>22</v>
      </c>
      <c r="C64" s="8">
        <v>1000</v>
      </c>
      <c r="D64" s="8">
        <v>22.466000000000001</v>
      </c>
      <c r="E64" s="8">
        <v>44.511706580000002</v>
      </c>
      <c r="F64" s="4"/>
      <c r="G64" s="4"/>
      <c r="H64" s="4"/>
    </row>
    <row r="65" spans="1:8" ht="17.25" thickBot="1">
      <c r="A65" s="5" t="s">
        <v>23</v>
      </c>
      <c r="B65" s="7" t="s">
        <v>24</v>
      </c>
      <c r="C65" s="8">
        <v>1000</v>
      </c>
      <c r="D65" s="8">
        <v>15.452999999999999</v>
      </c>
      <c r="E65" s="8">
        <v>64.712353590000006</v>
      </c>
      <c r="F65" s="4"/>
      <c r="G65" s="4"/>
      <c r="H65" s="4"/>
    </row>
    <row r="66" spans="1:8" ht="16.5">
      <c r="A66" s="4"/>
      <c r="B66" s="4"/>
      <c r="C66" s="4"/>
      <c r="D66" s="4"/>
      <c r="E66" s="4"/>
      <c r="F66" s="4"/>
      <c r="G66" s="4"/>
      <c r="H66" s="4"/>
    </row>
    <row r="67" spans="1:8" ht="17.25" thickBot="1">
      <c r="A67" s="4"/>
      <c r="B67" s="4"/>
      <c r="C67" s="4"/>
      <c r="D67" s="4"/>
      <c r="E67" s="4"/>
      <c r="F67" s="4"/>
      <c r="G67" s="4"/>
      <c r="H67" s="4"/>
    </row>
    <row r="68" spans="1:8" ht="17.25" thickBot="1">
      <c r="A68" s="10" t="s">
        <v>31</v>
      </c>
      <c r="B68" s="3" t="s">
        <v>6</v>
      </c>
      <c r="C68" s="3" t="s">
        <v>7</v>
      </c>
      <c r="D68" s="3" t="s">
        <v>8</v>
      </c>
      <c r="E68" s="3" t="s">
        <v>9</v>
      </c>
      <c r="F68" s="4"/>
      <c r="G68" s="4"/>
      <c r="H68" s="4"/>
    </row>
    <row r="69" spans="1:8" ht="17.25" thickBot="1">
      <c r="A69" s="5" t="s">
        <v>11</v>
      </c>
      <c r="B69" s="7" t="s">
        <v>12</v>
      </c>
      <c r="C69" s="8">
        <v>1000</v>
      </c>
      <c r="D69" s="8">
        <v>12.446</v>
      </c>
      <c r="E69" s="8">
        <f t="shared" ref="E69" si="7">C69/D69</f>
        <v>80.34709946970915</v>
      </c>
      <c r="F69" s="4"/>
      <c r="G69" s="4"/>
      <c r="H69" s="4"/>
    </row>
    <row r="70" spans="1:8" ht="17.25" thickBot="1">
      <c r="A70" s="5" t="s">
        <v>13</v>
      </c>
      <c r="B70" s="7" t="s">
        <v>14</v>
      </c>
      <c r="C70" s="8">
        <v>1000</v>
      </c>
      <c r="D70" s="8">
        <v>8.8339999999999996</v>
      </c>
      <c r="E70" s="8">
        <v>113.1990038</v>
      </c>
      <c r="F70" s="4"/>
      <c r="G70" s="4"/>
      <c r="H70" s="4"/>
    </row>
    <row r="71" spans="1:8" ht="17.25" thickBot="1">
      <c r="A71" s="5" t="s">
        <v>15</v>
      </c>
      <c r="B71" s="7" t="s">
        <v>16</v>
      </c>
      <c r="C71" s="8">
        <v>1000</v>
      </c>
      <c r="D71" s="8">
        <v>15.664</v>
      </c>
      <c r="E71" s="8">
        <v>63.84065373</v>
      </c>
      <c r="F71" s="4"/>
      <c r="G71" s="4"/>
      <c r="H71" s="4"/>
    </row>
    <row r="72" spans="1:8" ht="17.25" thickBot="1">
      <c r="A72" s="5" t="s">
        <v>17</v>
      </c>
      <c r="B72" s="7" t="s">
        <v>18</v>
      </c>
      <c r="C72" s="8">
        <v>1000</v>
      </c>
      <c r="D72" s="8">
        <v>18.542000000000002</v>
      </c>
      <c r="E72" s="8">
        <v>53.931614709999998</v>
      </c>
      <c r="F72" s="4"/>
      <c r="G72" s="4"/>
      <c r="H72" s="4"/>
    </row>
    <row r="73" spans="1:8" ht="17.25" thickBot="1">
      <c r="A73" s="5" t="s">
        <v>19</v>
      </c>
      <c r="B73" s="7" t="s">
        <v>20</v>
      </c>
      <c r="C73" s="8">
        <v>1000</v>
      </c>
      <c r="D73" s="8">
        <v>14.297000000000001</v>
      </c>
      <c r="E73" s="8">
        <v>69.944743650000007</v>
      </c>
      <c r="F73" s="4"/>
      <c r="G73" s="4"/>
      <c r="H73" s="4"/>
    </row>
    <row r="74" spans="1:8" ht="17.25" thickBot="1">
      <c r="A74" s="5" t="s">
        <v>21</v>
      </c>
      <c r="B74" s="7" t="s">
        <v>22</v>
      </c>
      <c r="C74" s="8">
        <v>1000</v>
      </c>
      <c r="D74" s="8">
        <v>23.271000000000001</v>
      </c>
      <c r="E74" s="8">
        <v>42.971939319999997</v>
      </c>
      <c r="F74" s="4"/>
      <c r="G74" s="4"/>
      <c r="H74" s="4"/>
    </row>
    <row r="75" spans="1:8" ht="17.25" thickBot="1">
      <c r="A75" s="5" t="s">
        <v>23</v>
      </c>
      <c r="B75" s="7" t="s">
        <v>24</v>
      </c>
      <c r="C75" s="8">
        <v>1000</v>
      </c>
      <c r="D75" s="8">
        <v>15.77</v>
      </c>
      <c r="E75" s="8">
        <v>63.411540899999999</v>
      </c>
      <c r="F75" s="4"/>
      <c r="G75" s="4"/>
      <c r="H75" s="4"/>
    </row>
    <row r="76" spans="1:8" ht="16.5">
      <c r="A76" s="4"/>
      <c r="B76" s="4"/>
      <c r="C76" s="4"/>
      <c r="D76" s="4"/>
      <c r="E76" s="4"/>
      <c r="F76" s="4"/>
      <c r="G76" s="4"/>
      <c r="H76" s="4"/>
    </row>
    <row r="77" spans="1:8" ht="17.25" thickBot="1">
      <c r="A77" s="4"/>
      <c r="B77" s="4"/>
      <c r="C77" s="4"/>
      <c r="D77" s="4"/>
      <c r="E77" s="4"/>
      <c r="F77" s="4"/>
      <c r="G77" s="4"/>
      <c r="H77" s="4"/>
    </row>
    <row r="78" spans="1:8" ht="17.25" thickBot="1">
      <c r="A78" s="10" t="s">
        <v>32</v>
      </c>
      <c r="B78" s="3" t="s">
        <v>6</v>
      </c>
      <c r="C78" s="3" t="s">
        <v>7</v>
      </c>
      <c r="D78" s="3" t="s">
        <v>8</v>
      </c>
      <c r="E78" s="3" t="s">
        <v>9</v>
      </c>
      <c r="F78" s="4"/>
      <c r="G78" s="4"/>
      <c r="H78" s="4"/>
    </row>
    <row r="79" spans="1:8" ht="17.25" thickBot="1">
      <c r="A79" s="5" t="s">
        <v>11</v>
      </c>
      <c r="B79" s="7" t="s">
        <v>12</v>
      </c>
      <c r="C79" s="8">
        <v>1000</v>
      </c>
      <c r="D79" s="8">
        <v>12.61</v>
      </c>
      <c r="E79" s="8">
        <f t="shared" ref="E79" si="8">C79/D79</f>
        <v>79.302141157811263</v>
      </c>
      <c r="F79" s="4"/>
      <c r="G79" s="4"/>
      <c r="H79" s="4"/>
    </row>
    <row r="80" spans="1:8" ht="17.25" thickBot="1">
      <c r="A80" s="5" t="s">
        <v>13</v>
      </c>
      <c r="B80" s="7" t="s">
        <v>14</v>
      </c>
      <c r="C80" s="8">
        <v>1000</v>
      </c>
      <c r="D80" s="8">
        <v>8.9640000000000004</v>
      </c>
      <c r="E80" s="8">
        <v>111.5573405</v>
      </c>
      <c r="F80" s="4"/>
      <c r="G80" s="4"/>
      <c r="H80" s="4"/>
    </row>
    <row r="81" spans="1:8" ht="17.25" thickBot="1">
      <c r="A81" s="5" t="s">
        <v>15</v>
      </c>
      <c r="B81" s="7" t="s">
        <v>16</v>
      </c>
      <c r="C81" s="8">
        <v>1000</v>
      </c>
      <c r="D81" s="8">
        <v>15.739000000000001</v>
      </c>
      <c r="E81" s="8">
        <v>63.536438150000002</v>
      </c>
      <c r="F81" s="4"/>
      <c r="G81" s="4"/>
      <c r="H81" s="4"/>
    </row>
    <row r="82" spans="1:8" ht="17.25" thickBot="1">
      <c r="A82" s="5" t="s">
        <v>17</v>
      </c>
      <c r="B82" s="7" t="s">
        <v>18</v>
      </c>
      <c r="C82" s="8">
        <v>1000</v>
      </c>
      <c r="D82" s="8">
        <v>18.754000000000001</v>
      </c>
      <c r="E82" s="8">
        <v>53.321957980000001</v>
      </c>
      <c r="F82" s="4"/>
      <c r="G82" s="4"/>
      <c r="H82" s="4"/>
    </row>
    <row r="83" spans="1:8" ht="17.25" thickBot="1">
      <c r="A83" s="5" t="s">
        <v>19</v>
      </c>
      <c r="B83" s="7" t="s">
        <v>20</v>
      </c>
      <c r="C83" s="8">
        <v>1000</v>
      </c>
      <c r="D83" s="8">
        <v>14.471</v>
      </c>
      <c r="E83" s="8">
        <v>69.103724690000007</v>
      </c>
      <c r="F83" s="4"/>
      <c r="G83" s="4"/>
      <c r="H83" s="4"/>
    </row>
    <row r="84" spans="1:8" ht="17.25" thickBot="1">
      <c r="A84" s="5" t="s">
        <v>21</v>
      </c>
      <c r="B84" s="7" t="s">
        <v>22</v>
      </c>
      <c r="C84" s="8">
        <v>1000</v>
      </c>
      <c r="D84" s="8">
        <v>23.254999999999999</v>
      </c>
      <c r="E84" s="8">
        <v>43.001505049999999</v>
      </c>
      <c r="F84" s="4"/>
      <c r="G84" s="4"/>
      <c r="H84" s="4"/>
    </row>
    <row r="85" spans="1:8" ht="17.25" thickBot="1">
      <c r="A85" s="5" t="s">
        <v>23</v>
      </c>
      <c r="B85" s="7" t="s">
        <v>24</v>
      </c>
      <c r="C85" s="8">
        <v>1000</v>
      </c>
      <c r="D85" s="8">
        <v>15.651</v>
      </c>
      <c r="E85" s="8">
        <v>63.89368091</v>
      </c>
      <c r="F85" s="4"/>
      <c r="G85" s="4"/>
      <c r="H85" s="4"/>
    </row>
    <row r="86" spans="1:8" ht="16.5">
      <c r="A86" s="4"/>
      <c r="B86" s="4"/>
      <c r="C86" s="4"/>
      <c r="D86" s="4"/>
      <c r="E86" s="4"/>
      <c r="F86" s="4"/>
      <c r="G86" s="4"/>
      <c r="H86" s="4"/>
    </row>
    <row r="87" spans="1:8" ht="17.25" thickBot="1">
      <c r="A87" s="4"/>
      <c r="B87" s="4"/>
      <c r="C87" s="4"/>
      <c r="D87" s="4"/>
      <c r="E87" s="4"/>
      <c r="F87" s="4"/>
      <c r="G87" s="4"/>
      <c r="H87" s="4"/>
    </row>
    <row r="88" spans="1:8" ht="17.25" thickBot="1">
      <c r="A88" s="10" t="s">
        <v>33</v>
      </c>
      <c r="B88" s="3" t="s">
        <v>6</v>
      </c>
      <c r="C88" s="3" t="s">
        <v>7</v>
      </c>
      <c r="D88" s="3" t="s">
        <v>8</v>
      </c>
      <c r="E88" s="3" t="s">
        <v>9</v>
      </c>
      <c r="F88" s="4"/>
      <c r="G88" s="4"/>
      <c r="H88" s="4"/>
    </row>
    <row r="89" spans="1:8" ht="17.25" thickBot="1">
      <c r="A89" s="5" t="s">
        <v>11</v>
      </c>
      <c r="B89" s="7" t="s">
        <v>12</v>
      </c>
      <c r="C89" s="8">
        <v>1000</v>
      </c>
      <c r="D89" s="8">
        <v>12.737</v>
      </c>
      <c r="E89" s="8">
        <f t="shared" ref="E89" si="9">C89/D89</f>
        <v>78.511423412106467</v>
      </c>
      <c r="F89" s="4"/>
      <c r="G89" s="4"/>
      <c r="H89" s="4"/>
    </row>
    <row r="90" spans="1:8" ht="17.25" thickBot="1">
      <c r="A90" s="5" t="s">
        <v>13</v>
      </c>
      <c r="B90" s="7" t="s">
        <v>14</v>
      </c>
      <c r="C90" s="8">
        <v>1000</v>
      </c>
      <c r="D90" s="8">
        <v>8.9849999999999994</v>
      </c>
      <c r="E90" s="8">
        <v>111.2966055</v>
      </c>
      <c r="F90" s="4"/>
      <c r="G90" s="4"/>
      <c r="H90" s="4"/>
    </row>
    <row r="91" spans="1:8" ht="17.25" thickBot="1">
      <c r="A91" s="5" t="s">
        <v>15</v>
      </c>
      <c r="B91" s="7" t="s">
        <v>16</v>
      </c>
      <c r="C91" s="8">
        <v>1000</v>
      </c>
      <c r="D91" s="8">
        <v>15.994</v>
      </c>
      <c r="E91" s="8">
        <v>62.523446290000003</v>
      </c>
      <c r="F91" s="4"/>
      <c r="G91" s="4"/>
      <c r="H91" s="4"/>
    </row>
    <row r="92" spans="1:8" ht="17.25" thickBot="1">
      <c r="A92" s="5" t="s">
        <v>17</v>
      </c>
      <c r="B92" s="7" t="s">
        <v>18</v>
      </c>
      <c r="C92" s="8">
        <v>1000</v>
      </c>
      <c r="D92" s="8">
        <v>18.747</v>
      </c>
      <c r="E92" s="8">
        <v>53.341868030000001</v>
      </c>
      <c r="F92" s="4"/>
      <c r="G92" s="4"/>
      <c r="H92" s="4"/>
    </row>
    <row r="93" spans="1:8" ht="17.25" thickBot="1">
      <c r="A93" s="5" t="s">
        <v>19</v>
      </c>
      <c r="B93" s="7" t="s">
        <v>20</v>
      </c>
      <c r="C93" s="8">
        <v>1000</v>
      </c>
      <c r="D93" s="8">
        <v>14.688000000000001</v>
      </c>
      <c r="E93" s="8">
        <v>68.082788669999999</v>
      </c>
      <c r="F93" s="4"/>
      <c r="G93" s="4"/>
      <c r="H93" s="4"/>
    </row>
    <row r="94" spans="1:8" ht="17.25" thickBot="1">
      <c r="A94" s="5" t="s">
        <v>21</v>
      </c>
      <c r="B94" s="7" t="s">
        <v>22</v>
      </c>
      <c r="C94" s="8">
        <v>1000</v>
      </c>
      <c r="D94" s="8">
        <v>23.922000000000001</v>
      </c>
      <c r="E94" s="8">
        <v>41.802524869999999</v>
      </c>
      <c r="F94" s="4"/>
      <c r="G94" s="4"/>
      <c r="H94" s="4"/>
    </row>
    <row r="95" spans="1:8" ht="17.25" thickBot="1">
      <c r="A95" s="5" t="s">
        <v>23</v>
      </c>
      <c r="B95" s="7" t="s">
        <v>24</v>
      </c>
      <c r="C95" s="8">
        <v>1000</v>
      </c>
      <c r="D95" s="8">
        <v>15.904999999999999</v>
      </c>
      <c r="E95" s="8">
        <v>62.873310279999998</v>
      </c>
      <c r="F95" s="4"/>
      <c r="G95" s="4"/>
      <c r="H95" s="4"/>
    </row>
    <row r="96" spans="1:8" ht="16.5">
      <c r="A96" s="4"/>
      <c r="B96" s="4"/>
      <c r="C96" s="4"/>
      <c r="D96" s="4"/>
      <c r="E96" s="4"/>
      <c r="F96" s="4"/>
      <c r="G96" s="4"/>
      <c r="H96" s="4"/>
    </row>
    <row r="97" spans="1:8" ht="17.25" thickBot="1">
      <c r="A97" s="4"/>
      <c r="B97" s="4"/>
      <c r="C97" s="4"/>
      <c r="D97" s="4"/>
      <c r="E97" s="4"/>
      <c r="F97" s="4"/>
      <c r="G97" s="4"/>
      <c r="H97" s="4"/>
    </row>
    <row r="98" spans="1:8" ht="17.25" thickBot="1">
      <c r="A98" s="10" t="s">
        <v>34</v>
      </c>
      <c r="B98" s="3" t="s">
        <v>6</v>
      </c>
      <c r="C98" s="3" t="s">
        <v>7</v>
      </c>
      <c r="D98" s="3" t="s">
        <v>8</v>
      </c>
      <c r="E98" s="3" t="s">
        <v>9</v>
      </c>
      <c r="F98" s="4"/>
      <c r="G98" s="4"/>
      <c r="H98" s="4"/>
    </row>
    <row r="99" spans="1:8" ht="17.25" thickBot="1">
      <c r="A99" s="5" t="s">
        <v>13</v>
      </c>
      <c r="B99" s="7" t="s">
        <v>14</v>
      </c>
      <c r="C99" s="8">
        <v>1000</v>
      </c>
      <c r="D99" s="8">
        <v>9.1110000000000007</v>
      </c>
      <c r="E99" s="8">
        <f t="shared" ref="E99" si="10">C99/D99</f>
        <v>109.75743606629348</v>
      </c>
      <c r="F99" s="4"/>
      <c r="G99" s="4"/>
      <c r="H99" s="4"/>
    </row>
    <row r="100" spans="1:8" ht="17.25" thickBot="1">
      <c r="A100" s="5" t="s">
        <v>15</v>
      </c>
      <c r="B100" s="7" t="s">
        <v>16</v>
      </c>
      <c r="C100" s="8">
        <v>1000</v>
      </c>
      <c r="D100" s="8">
        <v>15.938000000000001</v>
      </c>
      <c r="E100" s="8">
        <v>62.743129629999999</v>
      </c>
      <c r="F100" s="4"/>
      <c r="G100" s="4"/>
      <c r="H100" s="4"/>
    </row>
    <row r="101" spans="1:8" ht="17.25" thickBot="1">
      <c r="A101" s="5" t="s">
        <v>17</v>
      </c>
      <c r="B101" s="7" t="s">
        <v>18</v>
      </c>
      <c r="C101" s="8">
        <v>1000</v>
      </c>
      <c r="D101" s="8">
        <v>18.670000000000002</v>
      </c>
      <c r="E101" s="8">
        <v>53.561863950000003</v>
      </c>
      <c r="F101" s="4"/>
      <c r="G101" s="4"/>
      <c r="H101" s="4"/>
    </row>
    <row r="102" spans="1:8" ht="17.25" thickBot="1">
      <c r="A102" s="5" t="s">
        <v>19</v>
      </c>
      <c r="B102" s="7" t="s">
        <v>20</v>
      </c>
      <c r="C102" s="8">
        <v>1000</v>
      </c>
      <c r="D102" s="8">
        <v>14.590999999999999</v>
      </c>
      <c r="E102" s="8">
        <v>68.535398529999995</v>
      </c>
      <c r="F102" s="4"/>
      <c r="G102" s="4"/>
      <c r="H102" s="4"/>
    </row>
    <row r="103" spans="1:8" ht="17.25" thickBot="1">
      <c r="A103" s="5" t="s">
        <v>23</v>
      </c>
      <c r="B103" s="7" t="s">
        <v>24</v>
      </c>
      <c r="C103" s="8">
        <v>1000</v>
      </c>
      <c r="D103" s="8">
        <v>15.984</v>
      </c>
      <c r="E103" s="8">
        <v>62.562562560000003</v>
      </c>
      <c r="F103" s="4"/>
      <c r="G103" s="4"/>
      <c r="H103" s="4"/>
    </row>
    <row r="104" spans="1:8" ht="17.25" thickBot="1">
      <c r="A104" s="5" t="s">
        <v>21</v>
      </c>
      <c r="B104" s="7" t="s">
        <v>22</v>
      </c>
      <c r="C104" s="8">
        <v>1000</v>
      </c>
      <c r="D104" s="8">
        <v>23.757000000000001</v>
      </c>
      <c r="E104" s="8">
        <v>42.092856840000003</v>
      </c>
      <c r="F104" s="4"/>
      <c r="G104" s="4"/>
      <c r="H104" s="4"/>
    </row>
    <row r="105" spans="1:8" ht="17.25" thickBot="1">
      <c r="A105" s="5" t="s">
        <v>11</v>
      </c>
      <c r="B105" s="7" t="s">
        <v>12</v>
      </c>
      <c r="C105" s="8">
        <v>1000</v>
      </c>
      <c r="D105" s="8">
        <v>12.865</v>
      </c>
      <c r="E105" s="8">
        <v>77.730275939999999</v>
      </c>
      <c r="F105" s="4"/>
      <c r="G105" s="4"/>
      <c r="H105" s="4"/>
    </row>
    <row r="106" spans="1:8" ht="16.5">
      <c r="A106" s="4"/>
      <c r="B106" s="4"/>
      <c r="C106" s="4"/>
      <c r="D106" s="4"/>
      <c r="E106" s="4"/>
      <c r="F106" s="4"/>
      <c r="G106" s="4"/>
      <c r="H106" s="4"/>
    </row>
    <row r="107" spans="1:8" ht="17.25" thickBot="1">
      <c r="A107" s="4"/>
      <c r="B107" s="4"/>
      <c r="C107" s="4"/>
      <c r="D107" s="4"/>
      <c r="E107" s="4"/>
      <c r="F107" s="4"/>
      <c r="G107" s="4"/>
      <c r="H107" s="4"/>
    </row>
    <row r="108" spans="1:8" ht="17.25" thickBot="1">
      <c r="A108" s="10" t="s">
        <v>35</v>
      </c>
      <c r="B108" s="3" t="s">
        <v>6</v>
      </c>
      <c r="C108" s="3" t="s">
        <v>7</v>
      </c>
      <c r="D108" s="3" t="s">
        <v>8</v>
      </c>
      <c r="E108" s="3" t="s">
        <v>9</v>
      </c>
      <c r="F108" s="4"/>
      <c r="G108" s="4"/>
      <c r="H108" s="4"/>
    </row>
    <row r="109" spans="1:8" ht="17.25" thickBot="1">
      <c r="A109" s="5" t="s">
        <v>11</v>
      </c>
      <c r="B109" s="7" t="s">
        <v>12</v>
      </c>
      <c r="C109" s="8">
        <v>1000</v>
      </c>
      <c r="D109" s="8">
        <v>12.464</v>
      </c>
      <c r="E109" s="8">
        <f t="shared" ref="E109" si="11">C109/D109</f>
        <v>80.231065468549417</v>
      </c>
      <c r="F109" s="4"/>
      <c r="G109" s="4"/>
      <c r="H109" s="4"/>
    </row>
    <row r="110" spans="1:8" ht="17.25" thickBot="1">
      <c r="A110" s="5" t="s">
        <v>23</v>
      </c>
      <c r="B110" s="7" t="s">
        <v>24</v>
      </c>
      <c r="C110" s="8">
        <v>1000</v>
      </c>
      <c r="D110" s="8">
        <v>14.911</v>
      </c>
      <c r="E110" s="8">
        <v>67.064583189999993</v>
      </c>
      <c r="F110" s="4"/>
      <c r="G110" s="4"/>
      <c r="H110" s="4"/>
    </row>
    <row r="111" spans="1:8" ht="17.25" thickBot="1">
      <c r="A111" s="5" t="s">
        <v>21</v>
      </c>
      <c r="B111" s="7" t="s">
        <v>22</v>
      </c>
      <c r="C111" s="8">
        <v>1000</v>
      </c>
      <c r="D111" s="8">
        <v>22.923999999999999</v>
      </c>
      <c r="E111" s="8">
        <v>43.622404469999999</v>
      </c>
      <c r="F111" s="4"/>
      <c r="G111" s="4"/>
      <c r="H111" s="4"/>
    </row>
    <row r="112" spans="1:8" ht="17.25" thickBot="1">
      <c r="A112" s="5" t="s">
        <v>13</v>
      </c>
      <c r="B112" s="7" t="s">
        <v>14</v>
      </c>
      <c r="C112" s="8">
        <v>1000</v>
      </c>
      <c r="D112" s="8">
        <v>8.5540000000000003</v>
      </c>
      <c r="E112" s="8">
        <v>116.9043722</v>
      </c>
      <c r="F112" s="4"/>
      <c r="G112" s="4"/>
      <c r="H112" s="4"/>
    </row>
    <row r="113" spans="1:8" ht="17.25" thickBot="1">
      <c r="A113" s="5" t="s">
        <v>15</v>
      </c>
      <c r="B113" s="7" t="s">
        <v>16</v>
      </c>
      <c r="C113" s="8">
        <v>1000</v>
      </c>
      <c r="D113" s="8">
        <v>15.129</v>
      </c>
      <c r="E113" s="8">
        <v>66.098221960000004</v>
      </c>
      <c r="F113" s="4"/>
      <c r="G113" s="4"/>
      <c r="H113" s="4"/>
    </row>
    <row r="114" spans="1:8" ht="17.25" thickBot="1">
      <c r="A114" s="5" t="s">
        <v>17</v>
      </c>
      <c r="B114" s="7" t="s">
        <v>18</v>
      </c>
      <c r="C114" s="8">
        <v>1000</v>
      </c>
      <c r="D114" s="8">
        <v>17.568000000000001</v>
      </c>
      <c r="E114" s="8">
        <v>56.92167577</v>
      </c>
      <c r="F114" s="4"/>
      <c r="G114" s="4"/>
      <c r="H114" s="4"/>
    </row>
    <row r="115" spans="1:8" ht="17.25" thickBot="1">
      <c r="A115" s="5" t="s">
        <v>19</v>
      </c>
      <c r="B115" s="7" t="s">
        <v>20</v>
      </c>
      <c r="C115" s="8">
        <v>1000</v>
      </c>
      <c r="D115" s="8">
        <v>14.156000000000001</v>
      </c>
      <c r="E115" s="8">
        <v>70.641424130000004</v>
      </c>
      <c r="F115" s="4"/>
      <c r="G115" s="4"/>
      <c r="H115" s="4"/>
    </row>
    <row r="116" spans="1:8" ht="16.5">
      <c r="A116" s="4"/>
      <c r="B116" s="4"/>
      <c r="C116" s="4"/>
      <c r="D116" s="4"/>
      <c r="E116" s="4"/>
      <c r="F116" s="4"/>
      <c r="G116" s="4"/>
      <c r="H116" s="4"/>
    </row>
    <row r="117" spans="1:8" ht="17.25" thickBot="1">
      <c r="A117" s="4"/>
      <c r="B117" s="4"/>
      <c r="C117" s="4"/>
      <c r="D117" s="4"/>
      <c r="E117" s="4"/>
      <c r="F117" s="4"/>
      <c r="G117" s="4"/>
      <c r="H117" s="4"/>
    </row>
    <row r="118" spans="1:8" ht="17.25" thickBot="1">
      <c r="A118" s="10" t="s">
        <v>36</v>
      </c>
      <c r="B118" s="3" t="s">
        <v>6</v>
      </c>
      <c r="C118" s="3" t="s">
        <v>7</v>
      </c>
      <c r="D118" s="3" t="s">
        <v>8</v>
      </c>
      <c r="E118" s="3" t="s">
        <v>9</v>
      </c>
      <c r="F118" s="4"/>
      <c r="G118" s="4"/>
      <c r="H118" s="4"/>
    </row>
    <row r="119" spans="1:8" ht="17.25" thickBot="1">
      <c r="A119" s="5" t="s">
        <v>11</v>
      </c>
      <c r="B119" s="7" t="s">
        <v>12</v>
      </c>
      <c r="C119" s="8">
        <v>1000</v>
      </c>
      <c r="D119" s="8">
        <v>12.144</v>
      </c>
      <c r="E119" s="8">
        <f t="shared" ref="E119" si="12">C119/D119</f>
        <v>82.345191040843218</v>
      </c>
      <c r="F119" s="4"/>
      <c r="G119" s="4"/>
      <c r="H119" s="4"/>
    </row>
    <row r="120" spans="1:8" ht="17.25" thickBot="1">
      <c r="A120" s="5" t="s">
        <v>13</v>
      </c>
      <c r="B120" s="7" t="s">
        <v>14</v>
      </c>
      <c r="C120" s="8">
        <v>1000</v>
      </c>
      <c r="D120" s="8">
        <v>8.18</v>
      </c>
      <c r="E120" s="8">
        <v>122.24938880000001</v>
      </c>
      <c r="F120" s="4"/>
      <c r="G120" s="4"/>
      <c r="H120" s="4"/>
    </row>
    <row r="121" spans="1:8" ht="17.25" thickBot="1">
      <c r="A121" s="5" t="s">
        <v>15</v>
      </c>
      <c r="B121" s="7" t="s">
        <v>16</v>
      </c>
      <c r="C121" s="8">
        <v>1000</v>
      </c>
      <c r="D121" s="8">
        <v>14.590999999999999</v>
      </c>
      <c r="E121" s="8">
        <v>68.535398529999995</v>
      </c>
      <c r="F121" s="4"/>
      <c r="G121" s="4"/>
      <c r="H121" s="4"/>
    </row>
    <row r="122" spans="1:8" ht="17.25" thickBot="1">
      <c r="A122" s="5" t="s">
        <v>23</v>
      </c>
      <c r="B122" s="7" t="s">
        <v>24</v>
      </c>
      <c r="C122" s="8">
        <v>1000</v>
      </c>
      <c r="D122" s="8">
        <v>13.923</v>
      </c>
      <c r="E122" s="8">
        <v>71.823601240000002</v>
      </c>
      <c r="F122" s="4"/>
      <c r="G122" s="4"/>
      <c r="H122" s="4"/>
    </row>
    <row r="123" spans="1:8" ht="17.25" thickBot="1">
      <c r="A123" s="5" t="s">
        <v>21</v>
      </c>
      <c r="B123" s="7" t="s">
        <v>22</v>
      </c>
      <c r="C123" s="8">
        <v>1000</v>
      </c>
      <c r="D123" s="8">
        <v>22.335000000000001</v>
      </c>
      <c r="E123" s="8">
        <v>44.772778150000001</v>
      </c>
      <c r="F123" s="4"/>
      <c r="G123" s="4"/>
      <c r="H123" s="4"/>
    </row>
    <row r="124" spans="1:8" ht="17.25" thickBot="1">
      <c r="A124" s="5" t="s">
        <v>17</v>
      </c>
      <c r="B124" s="7" t="s">
        <v>18</v>
      </c>
      <c r="C124" s="8">
        <v>1000</v>
      </c>
      <c r="D124" s="8">
        <v>16.274999999999999</v>
      </c>
      <c r="E124" s="8">
        <v>61.443932410000002</v>
      </c>
      <c r="F124" s="4"/>
      <c r="G124" s="4"/>
      <c r="H124" s="4"/>
    </row>
    <row r="125" spans="1:8" ht="17.25" thickBot="1">
      <c r="A125" s="5" t="s">
        <v>19</v>
      </c>
      <c r="B125" s="7" t="s">
        <v>20</v>
      </c>
      <c r="C125" s="8">
        <v>1000</v>
      </c>
      <c r="D125" s="8">
        <v>13.653</v>
      </c>
      <c r="E125" s="8">
        <v>73.243975680000005</v>
      </c>
      <c r="F125" s="4"/>
      <c r="G125" s="4"/>
      <c r="H125" s="4"/>
    </row>
    <row r="126" spans="1:8" ht="16.5">
      <c r="A126" s="4"/>
      <c r="B126" s="4"/>
      <c r="C126" s="4"/>
      <c r="D126" s="4"/>
      <c r="E126" s="4"/>
      <c r="F126" s="4"/>
      <c r="G126" s="4"/>
      <c r="H126" s="4"/>
    </row>
    <row r="127" spans="1:8" ht="17.25" thickBot="1">
      <c r="A127" s="4"/>
      <c r="B127" s="4"/>
      <c r="C127" s="4"/>
      <c r="D127" s="4"/>
      <c r="E127" s="4"/>
      <c r="F127" s="4"/>
      <c r="G127" s="4"/>
      <c r="H127" s="4"/>
    </row>
    <row r="128" spans="1:8" ht="17.25" thickBot="1">
      <c r="A128" s="10" t="s">
        <v>25</v>
      </c>
      <c r="B128" s="3" t="s">
        <v>6</v>
      </c>
      <c r="C128" s="3" t="s">
        <v>7</v>
      </c>
      <c r="D128" s="3" t="s">
        <v>8</v>
      </c>
      <c r="E128" s="3" t="s">
        <v>9</v>
      </c>
      <c r="F128" s="4"/>
      <c r="G128" s="4"/>
      <c r="H128" s="4"/>
    </row>
    <row r="129" spans="1:8" ht="17.25" thickBot="1">
      <c r="A129" s="5" t="s">
        <v>11</v>
      </c>
      <c r="B129" s="7" t="s">
        <v>12</v>
      </c>
      <c r="C129" s="8">
        <v>1000</v>
      </c>
      <c r="D129" s="8">
        <v>11.792</v>
      </c>
      <c r="E129" s="8">
        <f t="shared" ref="E129" si="13">C129/D129</f>
        <v>84.803256445047495</v>
      </c>
      <c r="F129" s="4"/>
      <c r="G129" s="4"/>
      <c r="H129" s="4"/>
    </row>
    <row r="130" spans="1:8" ht="17.25" thickBot="1">
      <c r="A130" s="5" t="s">
        <v>37</v>
      </c>
      <c r="B130" s="7" t="s">
        <v>38</v>
      </c>
      <c r="C130" s="8">
        <v>1000</v>
      </c>
      <c r="D130" s="8">
        <v>8.82</v>
      </c>
      <c r="E130" s="8">
        <v>113.3786848</v>
      </c>
      <c r="F130" s="4"/>
      <c r="G130" s="4"/>
      <c r="H130" s="4"/>
    </row>
    <row r="131" spans="1:8" ht="17.25" thickBot="1">
      <c r="A131" s="5" t="s">
        <v>13</v>
      </c>
      <c r="B131" s="7" t="s">
        <v>14</v>
      </c>
      <c r="C131" s="8">
        <v>1000</v>
      </c>
      <c r="D131" s="8">
        <v>7.8470000000000004</v>
      </c>
      <c r="E131" s="8">
        <v>127.4372372</v>
      </c>
      <c r="F131" s="4"/>
      <c r="G131" s="4"/>
      <c r="H131" s="4"/>
    </row>
    <row r="132" spans="1:8" ht="17.25" thickBot="1">
      <c r="A132" s="5" t="s">
        <v>15</v>
      </c>
      <c r="B132" s="7" t="s">
        <v>16</v>
      </c>
      <c r="C132" s="8">
        <v>1000</v>
      </c>
      <c r="D132" s="8">
        <v>14.01</v>
      </c>
      <c r="E132" s="8">
        <v>71.377587439999999</v>
      </c>
      <c r="F132" s="4"/>
      <c r="G132" s="4"/>
      <c r="H132" s="4"/>
    </row>
    <row r="133" spans="1:8" ht="17.25" thickBot="1">
      <c r="A133" s="5" t="s">
        <v>17</v>
      </c>
      <c r="B133" s="7" t="s">
        <v>18</v>
      </c>
      <c r="C133" s="8">
        <v>1000</v>
      </c>
      <c r="D133" s="8">
        <v>15.772</v>
      </c>
      <c r="E133" s="8">
        <v>63.403499869999997</v>
      </c>
      <c r="F133" s="4"/>
      <c r="G133" s="4"/>
      <c r="H133" s="4"/>
    </row>
    <row r="134" spans="1:8" ht="17.25" thickBot="1">
      <c r="A134" s="5" t="s">
        <v>19</v>
      </c>
      <c r="B134" s="7" t="s">
        <v>20</v>
      </c>
      <c r="C134" s="8">
        <v>1000</v>
      </c>
      <c r="D134" s="8">
        <v>13.013</v>
      </c>
      <c r="E134" s="8">
        <v>76.846230689999999</v>
      </c>
      <c r="F134" s="4"/>
      <c r="G134" s="4"/>
      <c r="H134" s="4"/>
    </row>
    <row r="135" spans="1:8" ht="17.25" thickBot="1">
      <c r="A135" s="5" t="s">
        <v>21</v>
      </c>
      <c r="B135" s="7" t="s">
        <v>22</v>
      </c>
      <c r="C135" s="8">
        <v>1000</v>
      </c>
      <c r="D135" s="8">
        <v>21.38</v>
      </c>
      <c r="E135" s="8">
        <v>46.772684750000003</v>
      </c>
      <c r="F135" s="4"/>
      <c r="G135" s="4"/>
      <c r="H135" s="4"/>
    </row>
    <row r="136" spans="1:8" ht="17.25" thickBot="1">
      <c r="A136" s="5" t="s">
        <v>23</v>
      </c>
      <c r="B136" s="7" t="s">
        <v>24</v>
      </c>
      <c r="C136" s="8">
        <v>1000</v>
      </c>
      <c r="D136" s="8">
        <v>13.647</v>
      </c>
      <c r="E136" s="8">
        <v>73.276177910000001</v>
      </c>
      <c r="F136" s="4"/>
      <c r="G136" s="4"/>
      <c r="H136" s="4"/>
    </row>
    <row r="137" spans="1:8" ht="16.5">
      <c r="A137" s="4"/>
      <c r="B137" s="4"/>
      <c r="C137" s="4"/>
      <c r="D137" s="4"/>
      <c r="E137" s="4"/>
      <c r="F137" s="4"/>
      <c r="G137" s="4"/>
      <c r="H137" s="4"/>
    </row>
    <row r="138" spans="1:8" ht="17.25" thickBot="1">
      <c r="A138" s="4"/>
      <c r="B138" s="4"/>
      <c r="C138" s="4"/>
      <c r="D138" s="4"/>
      <c r="E138" s="4"/>
      <c r="F138" s="4"/>
      <c r="G138" s="4"/>
      <c r="H138" s="4"/>
    </row>
    <row r="139" spans="1:8" ht="17.25" thickBot="1">
      <c r="A139" s="10" t="s">
        <v>26</v>
      </c>
      <c r="B139" s="3" t="s">
        <v>6</v>
      </c>
      <c r="C139" s="3" t="s">
        <v>7</v>
      </c>
      <c r="D139" s="3" t="s">
        <v>8</v>
      </c>
      <c r="E139" s="3" t="s">
        <v>9</v>
      </c>
      <c r="F139" s="4"/>
      <c r="G139" s="4"/>
      <c r="H139" s="4"/>
    </row>
    <row r="140" spans="1:8" ht="17.25" thickBot="1">
      <c r="A140" s="5" t="s">
        <v>11</v>
      </c>
      <c r="B140" s="7" t="s">
        <v>12</v>
      </c>
      <c r="C140" s="8">
        <v>1000</v>
      </c>
      <c r="D140" s="8">
        <v>11.452</v>
      </c>
      <c r="E140" s="8">
        <f t="shared" ref="E140" si="14">C140/D140</f>
        <v>87.320991966468739</v>
      </c>
      <c r="F140" s="4"/>
      <c r="G140" s="4"/>
      <c r="H140" s="4"/>
    </row>
    <row r="141" spans="1:8" ht="17.25" thickBot="1">
      <c r="A141" s="5" t="s">
        <v>37</v>
      </c>
      <c r="B141" s="7" t="s">
        <v>38</v>
      </c>
      <c r="C141" s="8">
        <v>1000</v>
      </c>
      <c r="D141" s="8">
        <v>8.5679999999999996</v>
      </c>
      <c r="E141" s="8">
        <v>116.713352</v>
      </c>
      <c r="F141" s="4"/>
      <c r="G141" s="4"/>
      <c r="H141" s="4"/>
    </row>
    <row r="142" spans="1:8" ht="17.25" thickBot="1">
      <c r="A142" s="5" t="s">
        <v>13</v>
      </c>
      <c r="B142" s="7" t="s">
        <v>14</v>
      </c>
      <c r="C142" s="8">
        <v>1000</v>
      </c>
      <c r="D142" s="8">
        <v>7.6280000000000001</v>
      </c>
      <c r="E142" s="8">
        <v>131.0959622</v>
      </c>
      <c r="F142" s="4"/>
      <c r="G142" s="4"/>
      <c r="H142" s="4"/>
    </row>
    <row r="143" spans="1:8" ht="17.25" thickBot="1">
      <c r="A143" s="5" t="s">
        <v>15</v>
      </c>
      <c r="B143" s="7" t="s">
        <v>16</v>
      </c>
      <c r="C143" s="8">
        <v>1000</v>
      </c>
      <c r="D143" s="8">
        <v>14.215</v>
      </c>
      <c r="E143" s="8">
        <v>70.348223709999999</v>
      </c>
      <c r="F143" s="4"/>
      <c r="G143" s="4"/>
      <c r="H143" s="4"/>
    </row>
    <row r="144" spans="1:8" ht="17.25" thickBot="1">
      <c r="A144" s="5" t="s">
        <v>17</v>
      </c>
      <c r="B144" s="7" t="s">
        <v>18</v>
      </c>
      <c r="C144" s="8">
        <v>1000</v>
      </c>
      <c r="D144" s="8">
        <v>15.353</v>
      </c>
      <c r="E144" s="8">
        <v>65.13385006</v>
      </c>
      <c r="F144" s="4"/>
      <c r="G144" s="4"/>
      <c r="H144" s="4"/>
    </row>
    <row r="145" spans="1:8" ht="17.25" thickBot="1">
      <c r="A145" s="5" t="s">
        <v>19</v>
      </c>
      <c r="B145" s="7" t="s">
        <v>39</v>
      </c>
      <c r="C145" s="8">
        <v>1000</v>
      </c>
      <c r="D145" s="8">
        <v>12.976000000000001</v>
      </c>
      <c r="E145" s="8">
        <v>77.065351419999999</v>
      </c>
      <c r="F145" s="4"/>
      <c r="G145" s="4"/>
      <c r="H145" s="4"/>
    </row>
    <row r="146" spans="1:8" ht="17.25" thickBot="1">
      <c r="A146" s="5" t="s">
        <v>21</v>
      </c>
      <c r="B146" s="7" t="s">
        <v>22</v>
      </c>
      <c r="C146" s="8">
        <v>1000</v>
      </c>
      <c r="D146" s="8">
        <v>21.948</v>
      </c>
      <c r="E146" s="8">
        <v>45.562238020000002</v>
      </c>
      <c r="F146" s="4"/>
      <c r="G146" s="4"/>
      <c r="H146" s="4"/>
    </row>
    <row r="147" spans="1:8" ht="17.25" thickBot="1">
      <c r="A147" s="5" t="s">
        <v>23</v>
      </c>
      <c r="B147" s="7" t="s">
        <v>24</v>
      </c>
      <c r="C147" s="8">
        <v>1000</v>
      </c>
      <c r="D147" s="8">
        <v>13.358000000000001</v>
      </c>
      <c r="E147" s="8">
        <v>74.861506210000002</v>
      </c>
      <c r="F147" s="4"/>
      <c r="G147" s="4"/>
      <c r="H147" s="4"/>
    </row>
    <row r="148" spans="1:8" ht="16.5">
      <c r="A148" s="4"/>
      <c r="B148" s="4"/>
      <c r="C148" s="4"/>
      <c r="D148" s="4"/>
      <c r="E148" s="4"/>
      <c r="F148" s="4"/>
      <c r="G148" s="4"/>
      <c r="H148" s="4"/>
    </row>
    <row r="149" spans="1:8" ht="17.25" thickBot="1">
      <c r="A149" s="4"/>
      <c r="B149" s="4"/>
      <c r="C149" s="4"/>
      <c r="D149" s="4"/>
      <c r="E149" s="4"/>
      <c r="F149" s="4"/>
      <c r="G149" s="4"/>
      <c r="H149" s="4"/>
    </row>
    <row r="150" spans="1:8" ht="17.25" thickBot="1">
      <c r="A150" s="10" t="s">
        <v>27</v>
      </c>
      <c r="B150" s="3" t="s">
        <v>6</v>
      </c>
      <c r="C150" s="3" t="s">
        <v>7</v>
      </c>
      <c r="D150" s="3" t="s">
        <v>8</v>
      </c>
      <c r="E150" s="3" t="s">
        <v>9</v>
      </c>
      <c r="F150" s="4"/>
      <c r="G150" s="4"/>
      <c r="H150" s="4"/>
    </row>
    <row r="151" spans="1:8" ht="17.25" thickBot="1">
      <c r="A151" s="5" t="s">
        <v>11</v>
      </c>
      <c r="B151" s="7" t="s">
        <v>12</v>
      </c>
      <c r="C151" s="8">
        <v>1000</v>
      </c>
      <c r="D151" s="8">
        <v>11.231999999999999</v>
      </c>
      <c r="E151" s="8">
        <f t="shared" ref="E151" si="15">C151/D151</f>
        <v>89.03133903133903</v>
      </c>
      <c r="F151" s="4"/>
      <c r="G151" s="4"/>
      <c r="H151" s="4"/>
    </row>
    <row r="152" spans="1:8" ht="17.25" thickBot="1">
      <c r="A152" s="5" t="s">
        <v>37</v>
      </c>
      <c r="B152" s="7" t="s">
        <v>38</v>
      </c>
      <c r="C152" s="8">
        <v>1000</v>
      </c>
      <c r="D152" s="8">
        <v>8.2430000000000003</v>
      </c>
      <c r="E152" s="8">
        <v>121.3150552</v>
      </c>
      <c r="F152" s="4"/>
      <c r="G152" s="4"/>
      <c r="H152" s="4"/>
    </row>
    <row r="153" spans="1:8" ht="17.25" thickBot="1">
      <c r="A153" s="5" t="s">
        <v>13</v>
      </c>
      <c r="B153" s="7" t="s">
        <v>14</v>
      </c>
      <c r="C153" s="8">
        <v>1000</v>
      </c>
      <c r="D153" s="8">
        <v>7.4409999999999998</v>
      </c>
      <c r="E153" s="8">
        <v>134.3905389</v>
      </c>
      <c r="F153" s="4"/>
      <c r="G153" s="4"/>
      <c r="H153" s="4"/>
    </row>
    <row r="154" spans="1:8" ht="17.25" thickBot="1">
      <c r="A154" s="5" t="s">
        <v>15</v>
      </c>
      <c r="B154" s="7" t="s">
        <v>16</v>
      </c>
      <c r="C154" s="8">
        <v>1000</v>
      </c>
      <c r="D154" s="8">
        <v>14.013</v>
      </c>
      <c r="E154" s="8">
        <v>71.362306430000004</v>
      </c>
      <c r="F154" s="4"/>
      <c r="G154" s="4"/>
      <c r="H154" s="4"/>
    </row>
    <row r="155" spans="1:8" ht="17.25" thickBot="1">
      <c r="A155" s="5" t="s">
        <v>17</v>
      </c>
      <c r="B155" s="7" t="s">
        <v>18</v>
      </c>
      <c r="C155" s="8">
        <v>1000</v>
      </c>
      <c r="D155" s="8">
        <v>14.96</v>
      </c>
      <c r="E155" s="8">
        <v>66.844919790000006</v>
      </c>
      <c r="F155" s="4"/>
      <c r="G155" s="4"/>
      <c r="H155" s="4"/>
    </row>
    <row r="156" spans="1:8" ht="17.25" thickBot="1">
      <c r="A156" s="5" t="s">
        <v>19</v>
      </c>
      <c r="B156" s="7" t="s">
        <v>20</v>
      </c>
      <c r="C156" s="8">
        <v>1000</v>
      </c>
      <c r="D156" s="8">
        <v>12.654</v>
      </c>
      <c r="E156" s="8">
        <v>79.026394819999993</v>
      </c>
      <c r="F156" s="4"/>
      <c r="G156" s="4"/>
      <c r="H156" s="4"/>
    </row>
    <row r="157" spans="1:8" ht="17.25" thickBot="1">
      <c r="A157" s="5" t="s">
        <v>23</v>
      </c>
      <c r="B157" s="7" t="s">
        <v>24</v>
      </c>
      <c r="C157" s="8">
        <v>1000</v>
      </c>
      <c r="D157" s="8">
        <v>12.993</v>
      </c>
      <c r="E157" s="8">
        <v>76.964519359999997</v>
      </c>
      <c r="F157" s="4"/>
      <c r="G157" s="4"/>
      <c r="H157" s="4"/>
    </row>
    <row r="158" spans="1:8" ht="17.25" thickBot="1">
      <c r="A158" s="5" t="s">
        <v>21</v>
      </c>
      <c r="B158" s="7" t="s">
        <v>22</v>
      </c>
      <c r="C158" s="8">
        <v>1000</v>
      </c>
      <c r="D158" s="8">
        <v>21.518000000000001</v>
      </c>
      <c r="E158" s="8">
        <v>46.472720510000002</v>
      </c>
      <c r="F158" s="4"/>
      <c r="G158" s="4"/>
      <c r="H158" s="4"/>
    </row>
    <row r="159" spans="1:8" ht="16.5">
      <c r="A159" s="4"/>
      <c r="B159" s="4"/>
      <c r="C159" s="4"/>
      <c r="D159" s="4"/>
      <c r="E159" s="4"/>
      <c r="F159" s="4"/>
      <c r="G159" s="4"/>
      <c r="H159" s="4"/>
    </row>
    <row r="160" spans="1:8" ht="17.25" thickBot="1">
      <c r="A160" s="4"/>
      <c r="B160" s="4"/>
      <c r="C160" s="4"/>
      <c r="D160" s="4"/>
      <c r="E160" s="4"/>
      <c r="F160" s="4"/>
      <c r="G160" s="4"/>
      <c r="H160" s="4"/>
    </row>
    <row r="161" spans="1:8" ht="17.25" thickBot="1">
      <c r="A161" s="10" t="s">
        <v>28</v>
      </c>
      <c r="B161" s="3" t="s">
        <v>6</v>
      </c>
      <c r="C161" s="3" t="s">
        <v>7</v>
      </c>
      <c r="D161" s="3" t="s">
        <v>8</v>
      </c>
      <c r="E161" s="3" t="s">
        <v>9</v>
      </c>
      <c r="F161" s="4"/>
      <c r="G161" s="4"/>
      <c r="H161" s="4"/>
    </row>
    <row r="162" spans="1:8" ht="17.25" thickBot="1">
      <c r="A162" s="5" t="s">
        <v>11</v>
      </c>
      <c r="B162" s="7" t="s">
        <v>12</v>
      </c>
      <c r="C162" s="8">
        <v>1000</v>
      </c>
      <c r="D162" s="8">
        <v>11.497999999999999</v>
      </c>
      <c r="E162" s="8">
        <f t="shared" ref="E162" si="16">C162/D162</f>
        <v>86.971647242998785</v>
      </c>
      <c r="F162" s="4"/>
      <c r="G162" s="4"/>
      <c r="H162" s="4"/>
    </row>
    <row r="163" spans="1:8" ht="17.25" thickBot="1">
      <c r="A163" s="5" t="s">
        <v>13</v>
      </c>
      <c r="B163" s="7" t="s">
        <v>14</v>
      </c>
      <c r="C163" s="8">
        <v>1000</v>
      </c>
      <c r="D163" s="8">
        <v>7.61</v>
      </c>
      <c r="E163" s="8">
        <v>131.4060447</v>
      </c>
      <c r="F163" s="4"/>
      <c r="G163" s="4"/>
      <c r="H163" s="4"/>
    </row>
    <row r="164" spans="1:8" ht="17.25" thickBot="1">
      <c r="A164" s="5" t="s">
        <v>15</v>
      </c>
      <c r="B164" s="7" t="s">
        <v>16</v>
      </c>
      <c r="C164" s="8">
        <v>1000</v>
      </c>
      <c r="D164" s="8">
        <v>14.221</v>
      </c>
      <c r="E164" s="8">
        <v>70.318543000000005</v>
      </c>
      <c r="F164" s="4"/>
      <c r="G164" s="4"/>
      <c r="H164" s="4"/>
    </row>
    <row r="165" spans="1:8" ht="17.25" thickBot="1">
      <c r="A165" s="5" t="s">
        <v>17</v>
      </c>
      <c r="B165" s="7" t="s">
        <v>18</v>
      </c>
      <c r="C165" s="8">
        <v>1000</v>
      </c>
      <c r="D165" s="8">
        <v>15.112</v>
      </c>
      <c r="E165" s="8">
        <v>66.172578079999994</v>
      </c>
      <c r="F165" s="4"/>
      <c r="G165" s="4"/>
      <c r="H165" s="4"/>
    </row>
    <row r="166" spans="1:8" ht="17.25" thickBot="1">
      <c r="A166" s="5" t="s">
        <v>19</v>
      </c>
      <c r="B166" s="7" t="s">
        <v>20</v>
      </c>
      <c r="C166" s="8">
        <v>1000</v>
      </c>
      <c r="D166" s="8">
        <v>12.84</v>
      </c>
      <c r="E166" s="8">
        <v>77.881619939999993</v>
      </c>
      <c r="F166" s="4"/>
      <c r="G166" s="4"/>
      <c r="H166" s="4"/>
    </row>
    <row r="167" spans="1:8" ht="17.25" thickBot="1">
      <c r="A167" s="5" t="s">
        <v>21</v>
      </c>
      <c r="B167" s="7" t="s">
        <v>22</v>
      </c>
      <c r="C167" s="8">
        <v>1000</v>
      </c>
      <c r="D167" s="8">
        <v>21.681000000000001</v>
      </c>
      <c r="E167" s="8">
        <v>46.123333789999997</v>
      </c>
      <c r="F167" s="4"/>
      <c r="G167" s="4"/>
      <c r="H167" s="4"/>
    </row>
    <row r="168" spans="1:8" ht="17.25" thickBot="1">
      <c r="A168" s="5" t="s">
        <v>23</v>
      </c>
      <c r="B168" s="7" t="s">
        <v>24</v>
      </c>
      <c r="C168" s="8">
        <v>1000</v>
      </c>
      <c r="D168" s="8">
        <v>13.092000000000001</v>
      </c>
      <c r="E168" s="8">
        <v>76.382523680000006</v>
      </c>
      <c r="F168" s="4"/>
      <c r="G168" s="4"/>
      <c r="H168" s="4"/>
    </row>
    <row r="169" spans="1:8" ht="17.25" thickBot="1">
      <c r="A169" s="5" t="s">
        <v>37</v>
      </c>
      <c r="B169" s="7" t="s">
        <v>38</v>
      </c>
      <c r="C169" s="8">
        <v>1000</v>
      </c>
      <c r="D169" s="8">
        <v>8.3469999999999995</v>
      </c>
      <c r="E169" s="8">
        <v>119.8035222</v>
      </c>
      <c r="F169" s="4"/>
      <c r="G169" s="4"/>
      <c r="H169" s="4"/>
    </row>
    <row r="170" spans="1:8" ht="16.5">
      <c r="A170" s="4"/>
      <c r="B170" s="4"/>
      <c r="C170" s="4"/>
      <c r="D170" s="4"/>
      <c r="E170" s="4"/>
      <c r="F170" s="4"/>
      <c r="G170" s="4"/>
      <c r="H170" s="4"/>
    </row>
    <row r="171" spans="1:8" ht="17.25" thickBot="1">
      <c r="A171" s="4"/>
      <c r="B171" s="4"/>
      <c r="C171" s="4"/>
      <c r="D171" s="4"/>
      <c r="E171" s="4"/>
      <c r="F171" s="4"/>
      <c r="G171" s="4"/>
      <c r="H171" s="4"/>
    </row>
    <row r="172" spans="1:8" ht="17.25" thickBot="1">
      <c r="A172" s="10" t="s">
        <v>29</v>
      </c>
      <c r="B172" s="3" t="s">
        <v>6</v>
      </c>
      <c r="C172" s="3" t="s">
        <v>7</v>
      </c>
      <c r="D172" s="3" t="s">
        <v>8</v>
      </c>
      <c r="E172" s="3" t="s">
        <v>9</v>
      </c>
      <c r="F172" s="4"/>
      <c r="G172" s="4"/>
      <c r="H172" s="4"/>
    </row>
    <row r="173" spans="1:8" ht="17.25" thickBot="1">
      <c r="A173" s="5" t="s">
        <v>11</v>
      </c>
      <c r="B173" s="7" t="s">
        <v>12</v>
      </c>
      <c r="C173" s="8">
        <v>1000</v>
      </c>
      <c r="D173" s="8">
        <v>11.548999999999999</v>
      </c>
      <c r="E173" s="8">
        <f t="shared" ref="E173" si="17">C173/D173</f>
        <v>86.587583340548974</v>
      </c>
      <c r="F173" s="4"/>
      <c r="G173" s="4"/>
      <c r="H173" s="4"/>
    </row>
    <row r="174" spans="1:8" ht="17.25" thickBot="1">
      <c r="A174" s="5" t="s">
        <v>13</v>
      </c>
      <c r="B174" s="7" t="s">
        <v>14</v>
      </c>
      <c r="C174" s="8">
        <v>1000</v>
      </c>
      <c r="D174" s="8">
        <v>7.3</v>
      </c>
      <c r="E174" s="8">
        <v>136.9863014</v>
      </c>
      <c r="F174" s="4"/>
      <c r="G174" s="4"/>
      <c r="H174" s="4"/>
    </row>
    <row r="175" spans="1:8" ht="17.25" thickBot="1">
      <c r="A175" s="5" t="s">
        <v>15</v>
      </c>
      <c r="B175" s="7" t="s">
        <v>16</v>
      </c>
      <c r="C175" s="8">
        <v>1000</v>
      </c>
      <c r="D175" s="8">
        <v>13.869</v>
      </c>
      <c r="E175" s="8">
        <v>72.10325186</v>
      </c>
      <c r="F175" s="4"/>
      <c r="G175" s="4"/>
      <c r="H175" s="4"/>
    </row>
    <row r="176" spans="1:8" ht="17.25" thickBot="1">
      <c r="A176" s="5" t="s">
        <v>17</v>
      </c>
      <c r="B176" s="7" t="s">
        <v>18</v>
      </c>
      <c r="C176" s="8">
        <v>1000</v>
      </c>
      <c r="D176" s="8">
        <v>14.332000000000001</v>
      </c>
      <c r="E176" s="8">
        <v>69.773932459999997</v>
      </c>
      <c r="F176" s="4"/>
      <c r="G176" s="4"/>
      <c r="H176" s="4"/>
    </row>
    <row r="177" spans="1:8" ht="17.25" thickBot="1">
      <c r="A177" s="5" t="s">
        <v>19</v>
      </c>
      <c r="B177" s="7" t="s">
        <v>20</v>
      </c>
      <c r="C177" s="8">
        <v>1000</v>
      </c>
      <c r="D177" s="8">
        <v>12.327</v>
      </c>
      <c r="E177" s="8">
        <v>81.122738699999999</v>
      </c>
      <c r="F177" s="4"/>
      <c r="G177" s="4"/>
      <c r="H177" s="4"/>
    </row>
    <row r="178" spans="1:8" ht="17.25" thickBot="1">
      <c r="A178" s="5" t="s">
        <v>21</v>
      </c>
      <c r="B178" s="7" t="s">
        <v>22</v>
      </c>
      <c r="C178" s="8">
        <v>1000</v>
      </c>
      <c r="D178" s="8">
        <v>21.202999999999999</v>
      </c>
      <c r="E178" s="8">
        <v>47.163137290000002</v>
      </c>
      <c r="F178" s="4"/>
      <c r="G178" s="4"/>
      <c r="H178" s="4"/>
    </row>
    <row r="179" spans="1:8" ht="17.25" thickBot="1">
      <c r="A179" s="5" t="s">
        <v>23</v>
      </c>
      <c r="B179" s="7" t="s">
        <v>24</v>
      </c>
      <c r="C179" s="8">
        <v>1000</v>
      </c>
      <c r="D179" s="8">
        <v>12.205</v>
      </c>
      <c r="E179" s="8">
        <v>81.933633760000006</v>
      </c>
      <c r="F179" s="4"/>
      <c r="G179" s="4"/>
      <c r="H179" s="4"/>
    </row>
    <row r="180" spans="1:8" ht="17.25" thickBot="1">
      <c r="A180" s="5" t="s">
        <v>37</v>
      </c>
      <c r="B180" s="7" t="s">
        <v>38</v>
      </c>
      <c r="C180" s="8">
        <v>1000</v>
      </c>
      <c r="D180" s="8">
        <v>7.7880000000000003</v>
      </c>
      <c r="E180" s="8">
        <v>128.40267080000001</v>
      </c>
      <c r="F180" s="4"/>
      <c r="G180" s="4"/>
      <c r="H180" s="4"/>
    </row>
    <row r="181" spans="1:8" ht="16.5">
      <c r="A181" s="4"/>
      <c r="B181" s="4"/>
      <c r="C181" s="4"/>
      <c r="D181" s="4"/>
      <c r="E181" s="4"/>
      <c r="F181" s="4"/>
      <c r="G181" s="4"/>
      <c r="H181" s="4"/>
    </row>
    <row r="182" spans="1:8" ht="17.25" thickBot="1">
      <c r="A182" s="4"/>
      <c r="B182" s="4"/>
      <c r="C182" s="4"/>
      <c r="D182" s="4"/>
      <c r="E182" s="4"/>
      <c r="F182" s="4"/>
      <c r="G182" s="4"/>
      <c r="H182" s="4"/>
    </row>
    <row r="183" spans="1:8" ht="17.25" thickBot="1">
      <c r="A183" s="10" t="s">
        <v>30</v>
      </c>
      <c r="B183" s="3" t="s">
        <v>6</v>
      </c>
      <c r="C183" s="3" t="s">
        <v>7</v>
      </c>
      <c r="D183" s="3" t="s">
        <v>8</v>
      </c>
      <c r="E183" s="3" t="s">
        <v>9</v>
      </c>
      <c r="F183" s="4"/>
      <c r="G183" s="4"/>
      <c r="H183" s="4"/>
    </row>
    <row r="184" spans="1:8" ht="17.25" thickBot="1">
      <c r="A184" s="5" t="s">
        <v>11</v>
      </c>
      <c r="B184" s="7" t="s">
        <v>12</v>
      </c>
      <c r="C184" s="8">
        <v>1000</v>
      </c>
      <c r="D184" s="8">
        <v>10.802</v>
      </c>
      <c r="E184" s="8">
        <f t="shared" ref="E184" si="18">C184/D184</f>
        <v>92.575448990927612</v>
      </c>
      <c r="F184" s="4"/>
      <c r="G184" s="4"/>
      <c r="H184" s="4"/>
    </row>
    <row r="185" spans="1:8" ht="17.25" thickBot="1">
      <c r="A185" s="5" t="s">
        <v>13</v>
      </c>
      <c r="B185" s="7" t="s">
        <v>14</v>
      </c>
      <c r="C185" s="8">
        <v>1000</v>
      </c>
      <c r="D185" s="8">
        <v>7.0869999999999997</v>
      </c>
      <c r="E185" s="8">
        <v>141.10342879999999</v>
      </c>
      <c r="F185" s="4"/>
      <c r="G185" s="4"/>
      <c r="H185" s="4"/>
    </row>
    <row r="186" spans="1:8" ht="17.25" thickBot="1">
      <c r="A186" s="5" t="s">
        <v>15</v>
      </c>
      <c r="B186" s="7" t="s">
        <v>16</v>
      </c>
      <c r="C186" s="8">
        <v>1000</v>
      </c>
      <c r="D186" s="8">
        <v>13.065</v>
      </c>
      <c r="E186" s="8">
        <v>76.540375049999994</v>
      </c>
      <c r="F186" s="4"/>
      <c r="G186" s="4"/>
      <c r="H186" s="4"/>
    </row>
    <row r="187" spans="1:8" ht="17.25" thickBot="1">
      <c r="A187" s="5" t="s">
        <v>17</v>
      </c>
      <c r="B187" s="7" t="s">
        <v>18</v>
      </c>
      <c r="C187" s="8">
        <v>1000</v>
      </c>
      <c r="D187" s="8">
        <v>13.584</v>
      </c>
      <c r="E187" s="8">
        <v>73.616018850000003</v>
      </c>
      <c r="F187" s="4"/>
      <c r="G187" s="4"/>
      <c r="H187" s="4"/>
    </row>
    <row r="188" spans="1:8" ht="17.25" thickBot="1">
      <c r="A188" s="5" t="s">
        <v>19</v>
      </c>
      <c r="B188" s="7" t="s">
        <v>20</v>
      </c>
      <c r="C188" s="8">
        <v>1000</v>
      </c>
      <c r="D188" s="8">
        <v>11.478</v>
      </c>
      <c r="E188" s="8">
        <v>87.123192189999997</v>
      </c>
      <c r="F188" s="4"/>
      <c r="G188" s="4"/>
      <c r="H188" s="4"/>
    </row>
    <row r="189" spans="1:8" ht="17.25" thickBot="1">
      <c r="A189" s="5" t="s">
        <v>21</v>
      </c>
      <c r="B189" s="7" t="s">
        <v>22</v>
      </c>
      <c r="C189" s="8">
        <v>1000</v>
      </c>
      <c r="D189" s="8">
        <v>19.856000000000002</v>
      </c>
      <c r="E189" s="8">
        <v>50.362610799999999</v>
      </c>
      <c r="F189" s="4"/>
      <c r="G189" s="4"/>
      <c r="H189" s="4"/>
    </row>
    <row r="190" spans="1:8" ht="17.25" thickBot="1">
      <c r="A190" s="5" t="s">
        <v>23</v>
      </c>
      <c r="B190" s="7" t="s">
        <v>24</v>
      </c>
      <c r="C190" s="8">
        <v>1000</v>
      </c>
      <c r="D190" s="8">
        <v>11.798999999999999</v>
      </c>
      <c r="E190" s="8">
        <v>84.752945159999996</v>
      </c>
      <c r="F190" s="4"/>
      <c r="G190" s="4"/>
      <c r="H190" s="4"/>
    </row>
    <row r="191" spans="1:8" ht="17.25" thickBot="1">
      <c r="A191" s="5" t="s">
        <v>37</v>
      </c>
      <c r="B191" s="7" t="s">
        <v>38</v>
      </c>
      <c r="C191" s="8">
        <v>1000</v>
      </c>
      <c r="D191" s="8">
        <v>7.38</v>
      </c>
      <c r="E191" s="8">
        <v>135.50135499999999</v>
      </c>
      <c r="F191" s="4"/>
      <c r="G191" s="4"/>
      <c r="H191" s="4"/>
    </row>
    <row r="192" spans="1:8" ht="16.5">
      <c r="A192" s="4"/>
      <c r="B192" s="4"/>
      <c r="C192" s="4"/>
      <c r="D192" s="4"/>
      <c r="E192" s="4"/>
      <c r="F192" s="4"/>
      <c r="G192" s="4"/>
      <c r="H192" s="4"/>
    </row>
    <row r="193" spans="1:8" ht="17.25" thickBot="1">
      <c r="A193" s="4"/>
      <c r="B193" s="4"/>
      <c r="C193" s="4"/>
      <c r="D193" s="4"/>
      <c r="E193" s="4"/>
      <c r="F193" s="4"/>
      <c r="G193" s="4"/>
      <c r="H193" s="4"/>
    </row>
    <row r="194" spans="1:8" ht="17.25" thickBot="1">
      <c r="A194" s="10" t="s">
        <v>31</v>
      </c>
      <c r="B194" s="3" t="s">
        <v>6</v>
      </c>
      <c r="C194" s="3" t="s">
        <v>7</v>
      </c>
      <c r="D194" s="3" t="s">
        <v>8</v>
      </c>
      <c r="E194" s="3" t="s">
        <v>9</v>
      </c>
      <c r="F194" s="4"/>
      <c r="G194" s="4"/>
      <c r="H194" s="4"/>
    </row>
    <row r="195" spans="1:8" ht="17.25" thickBot="1">
      <c r="A195" s="5" t="s">
        <v>11</v>
      </c>
      <c r="B195" s="7" t="s">
        <v>12</v>
      </c>
      <c r="C195" s="8">
        <v>1000</v>
      </c>
      <c r="D195" s="8">
        <v>10.635</v>
      </c>
      <c r="E195" s="8">
        <f t="shared" ref="E195" si="19">C195/D195</f>
        <v>94.029149036201218</v>
      </c>
      <c r="F195" s="4"/>
      <c r="G195" s="4"/>
      <c r="H195" s="4"/>
    </row>
    <row r="196" spans="1:8" ht="17.25" thickBot="1">
      <c r="A196" s="5" t="s">
        <v>13</v>
      </c>
      <c r="B196" s="7" t="s">
        <v>14</v>
      </c>
      <c r="C196" s="8">
        <v>1000</v>
      </c>
      <c r="D196" s="8">
        <v>7.008</v>
      </c>
      <c r="E196" s="8">
        <v>142.6940639</v>
      </c>
      <c r="F196" s="4"/>
      <c r="G196" s="4"/>
      <c r="H196" s="4"/>
    </row>
    <row r="197" spans="1:8" ht="17.25" thickBot="1">
      <c r="A197" s="5" t="s">
        <v>15</v>
      </c>
      <c r="B197" s="7" t="s">
        <v>16</v>
      </c>
      <c r="C197" s="8">
        <v>1000</v>
      </c>
      <c r="D197" s="8">
        <v>13.14</v>
      </c>
      <c r="E197" s="8">
        <v>76.103500760000003</v>
      </c>
      <c r="F197" s="4"/>
      <c r="G197" s="4"/>
      <c r="H197" s="4"/>
    </row>
    <row r="198" spans="1:8" ht="17.25" thickBot="1">
      <c r="A198" s="5" t="s">
        <v>17</v>
      </c>
      <c r="B198" s="7" t="s">
        <v>18</v>
      </c>
      <c r="C198" s="8">
        <v>1000</v>
      </c>
      <c r="D198" s="8">
        <v>13.411</v>
      </c>
      <c r="E198" s="8">
        <v>74.565655059999997</v>
      </c>
      <c r="F198" s="4"/>
      <c r="G198" s="4"/>
      <c r="H198" s="4"/>
    </row>
    <row r="199" spans="1:8" ht="17.25" thickBot="1">
      <c r="A199" s="5" t="s">
        <v>19</v>
      </c>
      <c r="B199" s="7" t="s">
        <v>20</v>
      </c>
      <c r="C199" s="8">
        <v>1000</v>
      </c>
      <c r="D199" s="8">
        <v>11.211</v>
      </c>
      <c r="E199" s="8">
        <v>89.198109000000002</v>
      </c>
      <c r="F199" s="4"/>
      <c r="G199" s="4"/>
      <c r="H199" s="4"/>
    </row>
    <row r="200" spans="1:8" ht="17.25" thickBot="1">
      <c r="A200" s="5" t="s">
        <v>21</v>
      </c>
      <c r="B200" s="7" t="s">
        <v>22</v>
      </c>
      <c r="C200" s="8">
        <v>1000</v>
      </c>
      <c r="D200" s="8">
        <v>11.706</v>
      </c>
      <c r="E200" s="8">
        <v>85.426277119999995</v>
      </c>
      <c r="F200" s="4"/>
      <c r="G200" s="4"/>
      <c r="H200" s="4"/>
    </row>
    <row r="201" spans="1:8" ht="17.25" thickBot="1">
      <c r="A201" s="5" t="s">
        <v>23</v>
      </c>
      <c r="B201" s="7" t="s">
        <v>24</v>
      </c>
      <c r="C201" s="8">
        <v>1000</v>
      </c>
      <c r="D201" s="8">
        <v>19.88</v>
      </c>
      <c r="E201" s="8">
        <v>50.301810869999997</v>
      </c>
      <c r="F201" s="4"/>
      <c r="G201" s="4"/>
      <c r="H201" s="4"/>
    </row>
    <row r="202" spans="1:8" ht="17.25" thickBot="1">
      <c r="A202" s="5" t="s">
        <v>37</v>
      </c>
      <c r="B202" s="7" t="s">
        <v>38</v>
      </c>
      <c r="C202" s="8">
        <v>1000</v>
      </c>
      <c r="D202" s="8">
        <v>7.2530000000000001</v>
      </c>
      <c r="E202" s="8">
        <v>137.8739832</v>
      </c>
      <c r="F202" s="4"/>
      <c r="G202" s="4"/>
      <c r="H202" s="4"/>
    </row>
    <row r="203" spans="1:8" ht="16.5">
      <c r="A203" s="4"/>
      <c r="B203" s="4"/>
      <c r="C203" s="4"/>
      <c r="D203" s="4"/>
      <c r="E203" s="4"/>
      <c r="F203" s="4"/>
      <c r="G203" s="4"/>
      <c r="H203" s="4"/>
    </row>
    <row r="204" spans="1:8" ht="17.25" thickBot="1">
      <c r="A204" s="4"/>
      <c r="B204" s="4"/>
      <c r="C204" s="4"/>
      <c r="D204" s="4"/>
      <c r="E204" s="4"/>
      <c r="F204" s="4"/>
      <c r="G204" s="4"/>
      <c r="H204" s="4"/>
    </row>
    <row r="205" spans="1:8" ht="17.25" thickBot="1">
      <c r="A205" s="10" t="s">
        <v>32</v>
      </c>
      <c r="B205" s="3" t="s">
        <v>6</v>
      </c>
      <c r="C205" s="3" t="s">
        <v>7</v>
      </c>
      <c r="D205" s="3" t="s">
        <v>8</v>
      </c>
      <c r="E205" s="3" t="s">
        <v>9</v>
      </c>
      <c r="F205" s="4"/>
      <c r="G205" s="4"/>
      <c r="H205" s="4"/>
    </row>
    <row r="206" spans="1:8" ht="17.25" thickBot="1">
      <c r="A206" s="5" t="s">
        <v>11</v>
      </c>
      <c r="B206" s="7" t="s">
        <v>12</v>
      </c>
      <c r="C206" s="8">
        <v>1000</v>
      </c>
      <c r="D206" s="8">
        <v>10.635</v>
      </c>
      <c r="E206" s="8">
        <f t="shared" ref="E206" si="20">C206/D206</f>
        <v>94.029149036201218</v>
      </c>
      <c r="F206" s="4"/>
      <c r="G206" s="4"/>
      <c r="H206" s="4"/>
    </row>
    <row r="207" spans="1:8" ht="17.25" thickBot="1">
      <c r="A207" s="5" t="s">
        <v>13</v>
      </c>
      <c r="B207" s="7" t="s">
        <v>14</v>
      </c>
      <c r="C207" s="8">
        <v>1000</v>
      </c>
      <c r="D207" s="8">
        <v>6.6689999999999996</v>
      </c>
      <c r="E207" s="8">
        <v>149.94751840000001</v>
      </c>
      <c r="F207" s="4"/>
      <c r="G207" s="4"/>
      <c r="H207" s="4"/>
    </row>
    <row r="208" spans="1:8" ht="17.25" thickBot="1">
      <c r="A208" s="5" t="s">
        <v>15</v>
      </c>
      <c r="B208" s="7" t="s">
        <v>16</v>
      </c>
      <c r="C208" s="8">
        <v>1000</v>
      </c>
      <c r="D208" s="8">
        <v>12.798</v>
      </c>
      <c r="E208" s="8">
        <v>78.137208939999994</v>
      </c>
      <c r="F208" s="4"/>
      <c r="G208" s="4"/>
      <c r="H208" s="4"/>
    </row>
    <row r="209" spans="1:8" ht="17.25" thickBot="1">
      <c r="A209" s="5" t="s">
        <v>17</v>
      </c>
      <c r="B209" s="7" t="s">
        <v>18</v>
      </c>
      <c r="C209" s="8">
        <v>1000</v>
      </c>
      <c r="D209" s="8">
        <v>12.976000000000001</v>
      </c>
      <c r="E209" s="8">
        <v>77.065351419999999</v>
      </c>
      <c r="F209" s="4"/>
      <c r="G209" s="4"/>
      <c r="H209" s="4"/>
    </row>
    <row r="210" spans="1:8" ht="17.25" thickBot="1">
      <c r="A210" s="5" t="s">
        <v>19</v>
      </c>
      <c r="B210" s="7" t="s">
        <v>20</v>
      </c>
      <c r="C210" s="8">
        <v>1000</v>
      </c>
      <c r="D210" s="8">
        <v>10.585000000000001</v>
      </c>
      <c r="E210" s="8">
        <v>94.473311289999998</v>
      </c>
      <c r="F210" s="4"/>
      <c r="G210" s="4"/>
      <c r="H210" s="4"/>
    </row>
    <row r="211" spans="1:8" ht="17.25" thickBot="1">
      <c r="A211" s="5" t="s">
        <v>21</v>
      </c>
      <c r="B211" s="7" t="s">
        <v>22</v>
      </c>
      <c r="C211" s="8">
        <v>1000</v>
      </c>
      <c r="D211" s="8">
        <v>18.923999999999999</v>
      </c>
      <c r="E211" s="8">
        <v>52.84295075</v>
      </c>
      <c r="F211" s="4"/>
      <c r="G211" s="4"/>
      <c r="H211" s="4"/>
    </row>
    <row r="212" spans="1:8" ht="17.25" thickBot="1">
      <c r="A212" s="5" t="s">
        <v>23</v>
      </c>
      <c r="B212" s="7" t="s">
        <v>24</v>
      </c>
      <c r="C212" s="8">
        <v>1000</v>
      </c>
      <c r="D212" s="8">
        <v>11.23</v>
      </c>
      <c r="E212" s="8">
        <v>89.047195009999996</v>
      </c>
      <c r="F212" s="4"/>
      <c r="G212" s="4"/>
      <c r="H212" s="4"/>
    </row>
    <row r="213" spans="1:8" ht="17.25" thickBot="1">
      <c r="A213" s="5" t="s">
        <v>37</v>
      </c>
      <c r="B213" s="7" t="s">
        <v>38</v>
      </c>
      <c r="C213" s="8">
        <v>1000</v>
      </c>
      <c r="D213" s="8">
        <v>7.0110000000000001</v>
      </c>
      <c r="E213" s="8">
        <v>142.63300530000001</v>
      </c>
      <c r="F213" s="4"/>
      <c r="G213" s="4"/>
      <c r="H213" s="4"/>
    </row>
    <row r="214" spans="1:8" ht="16.5">
      <c r="A214" s="4"/>
      <c r="B214" s="4"/>
      <c r="C214" s="4"/>
      <c r="D214" s="4"/>
      <c r="E214" s="4"/>
      <c r="F214" s="4"/>
      <c r="G214" s="4"/>
      <c r="H214" s="4"/>
    </row>
    <row r="215" spans="1:8" ht="17.25" thickBot="1">
      <c r="A215" s="4"/>
      <c r="B215" s="4"/>
      <c r="C215" s="4"/>
      <c r="D215" s="4"/>
      <c r="E215" s="4"/>
      <c r="F215" s="4"/>
      <c r="G215" s="4"/>
      <c r="H215" s="4"/>
    </row>
    <row r="216" spans="1:8" ht="17.25" thickBot="1">
      <c r="A216" s="10" t="s">
        <v>33</v>
      </c>
      <c r="B216" s="3" t="s">
        <v>6</v>
      </c>
      <c r="C216" s="3" t="s">
        <v>7</v>
      </c>
      <c r="D216" s="3" t="s">
        <v>8</v>
      </c>
      <c r="E216" s="3" t="s">
        <v>9</v>
      </c>
      <c r="F216" s="4"/>
      <c r="G216" s="4"/>
      <c r="H216" s="4"/>
    </row>
    <row r="217" spans="1:8" ht="17.25" thickBot="1">
      <c r="A217" s="5" t="s">
        <v>11</v>
      </c>
      <c r="B217" s="7" t="s">
        <v>12</v>
      </c>
      <c r="C217" s="8">
        <v>1000</v>
      </c>
      <c r="D217" s="8">
        <v>10.387</v>
      </c>
      <c r="E217" s="8">
        <f t="shared" ref="E217" si="21">C217/D217</f>
        <v>96.274188889958594</v>
      </c>
      <c r="F217" s="4"/>
      <c r="G217" s="4"/>
      <c r="H217" s="4"/>
    </row>
    <row r="218" spans="1:8" ht="17.25" thickBot="1">
      <c r="A218" s="5" t="s">
        <v>13</v>
      </c>
      <c r="B218" s="7" t="s">
        <v>14</v>
      </c>
      <c r="C218" s="8">
        <v>1000</v>
      </c>
      <c r="D218" s="8">
        <v>6.7880000000000003</v>
      </c>
      <c r="E218" s="8">
        <v>147.31879789999999</v>
      </c>
      <c r="F218" s="4"/>
      <c r="G218" s="4"/>
      <c r="H218" s="4"/>
    </row>
    <row r="219" spans="1:8" ht="17.25" thickBot="1">
      <c r="A219" s="5" t="s">
        <v>15</v>
      </c>
      <c r="B219" s="7" t="s">
        <v>16</v>
      </c>
      <c r="C219" s="8">
        <v>1000</v>
      </c>
      <c r="D219" s="8">
        <v>12.704000000000001</v>
      </c>
      <c r="E219" s="8">
        <v>78.715365239999997</v>
      </c>
      <c r="F219" s="4"/>
      <c r="G219" s="4"/>
      <c r="H219" s="4"/>
    </row>
    <row r="220" spans="1:8" ht="17.25" thickBot="1">
      <c r="A220" s="5" t="s">
        <v>17</v>
      </c>
      <c r="B220" s="7" t="s">
        <v>18</v>
      </c>
      <c r="C220" s="8">
        <v>1000</v>
      </c>
      <c r="D220" s="8">
        <v>13.436999999999999</v>
      </c>
      <c r="E220" s="8">
        <v>74.421373819999999</v>
      </c>
      <c r="F220" s="4"/>
      <c r="G220" s="4"/>
      <c r="H220" s="4"/>
    </row>
    <row r="221" spans="1:8" ht="17.25" thickBot="1">
      <c r="A221" s="5" t="s">
        <v>19</v>
      </c>
      <c r="B221" s="7" t="s">
        <v>20</v>
      </c>
      <c r="C221" s="8">
        <v>1000</v>
      </c>
      <c r="D221" s="8">
        <v>10.539</v>
      </c>
      <c r="E221" s="8">
        <v>94.885662780000004</v>
      </c>
      <c r="F221" s="4"/>
      <c r="G221" s="4"/>
      <c r="H221" s="4"/>
    </row>
    <row r="222" spans="1:8" ht="17.25" thickBot="1">
      <c r="A222" s="5" t="s">
        <v>21</v>
      </c>
      <c r="B222" s="7" t="s">
        <v>22</v>
      </c>
      <c r="C222" s="8">
        <v>1000</v>
      </c>
      <c r="D222" s="8">
        <v>18.68</v>
      </c>
      <c r="E222" s="8">
        <v>53.533190580000003</v>
      </c>
      <c r="F222" s="4"/>
      <c r="G222" s="4"/>
      <c r="H222" s="4"/>
    </row>
    <row r="223" spans="1:8" ht="17.25" thickBot="1">
      <c r="A223" s="5" t="s">
        <v>23</v>
      </c>
      <c r="B223" s="7" t="s">
        <v>24</v>
      </c>
      <c r="C223" s="8">
        <v>1000</v>
      </c>
      <c r="D223" s="8">
        <v>11.771000000000001</v>
      </c>
      <c r="E223" s="8">
        <v>84.954549319999998</v>
      </c>
      <c r="F223" s="4"/>
      <c r="G223" s="4"/>
      <c r="H223" s="4"/>
    </row>
    <row r="224" spans="1:8" ht="17.25" thickBot="1">
      <c r="A224" s="5" t="s">
        <v>37</v>
      </c>
      <c r="B224" s="7" t="s">
        <v>38</v>
      </c>
      <c r="C224" s="8">
        <v>1000</v>
      </c>
      <c r="D224" s="8">
        <v>7.26</v>
      </c>
      <c r="E224" s="8">
        <v>137.74104679999999</v>
      </c>
      <c r="F224" s="4"/>
      <c r="G224" s="4"/>
      <c r="H224" s="4"/>
    </row>
    <row r="225" spans="1:8" ht="16.5">
      <c r="A225" s="15" t="s">
        <v>40</v>
      </c>
      <c r="B225" s="15" t="s">
        <v>2</v>
      </c>
      <c r="C225" s="16">
        <v>1000</v>
      </c>
      <c r="D225" s="4"/>
      <c r="E225" s="4"/>
      <c r="F225" s="4"/>
      <c r="G225" s="4"/>
      <c r="H225" s="4"/>
    </row>
    <row r="226" spans="1:8" ht="16.5">
      <c r="A226" s="15" t="s">
        <v>41</v>
      </c>
      <c r="B226" s="15" t="s">
        <v>3</v>
      </c>
      <c r="C226" s="16">
        <v>1000</v>
      </c>
      <c r="D226" s="4"/>
      <c r="E226" s="4"/>
      <c r="F226" s="4"/>
      <c r="G226" s="4"/>
      <c r="H226" s="4"/>
    </row>
    <row r="227" spans="1:8" ht="16.5">
      <c r="A227" s="15" t="s">
        <v>42</v>
      </c>
      <c r="B227" s="15" t="s">
        <v>4</v>
      </c>
      <c r="C227" s="16">
        <v>2000</v>
      </c>
      <c r="D227" s="4"/>
      <c r="E227" s="4"/>
      <c r="F227" s="4"/>
      <c r="G227" s="4"/>
      <c r="H227" s="4"/>
    </row>
    <row r="228" spans="1:8" ht="16.5">
      <c r="A228" s="4"/>
      <c r="B228" s="4"/>
      <c r="C228" s="4"/>
      <c r="D228" s="4"/>
      <c r="E228" s="4"/>
      <c r="F228" s="4"/>
      <c r="G228" s="4"/>
      <c r="H228" s="4"/>
    </row>
    <row r="229" spans="1:8" ht="17.25" thickBot="1">
      <c r="A229" s="4"/>
      <c r="B229" s="4"/>
      <c r="C229" s="4"/>
      <c r="D229" s="4"/>
      <c r="E229" s="4"/>
      <c r="F229" s="4"/>
      <c r="G229" s="4"/>
      <c r="H229" s="4"/>
    </row>
    <row r="230" spans="1:8" ht="15.75" thickBot="1">
      <c r="A230" s="10" t="s">
        <v>34</v>
      </c>
      <c r="B230" s="3" t="s">
        <v>6</v>
      </c>
      <c r="C230" s="3" t="s">
        <v>7</v>
      </c>
      <c r="D230" s="3" t="s">
        <v>8</v>
      </c>
      <c r="E230" s="3" t="s">
        <v>9</v>
      </c>
      <c r="F230" s="17"/>
      <c r="G230" s="17"/>
      <c r="H230" s="17"/>
    </row>
    <row r="231" spans="1:8" ht="15.75" thickBot="1">
      <c r="A231" s="5" t="s">
        <v>11</v>
      </c>
      <c r="B231" s="7" t="s">
        <v>12</v>
      </c>
      <c r="C231" s="8">
        <v>1000</v>
      </c>
      <c r="D231" s="8">
        <v>10.172000000000001</v>
      </c>
      <c r="E231" s="8">
        <f t="shared" ref="E231" si="22">C231/D231</f>
        <v>98.309083759339359</v>
      </c>
      <c r="F231" s="7"/>
      <c r="G231" s="7"/>
      <c r="H231" s="7"/>
    </row>
    <row r="232" spans="1:8" ht="15.75" thickBot="1">
      <c r="A232" s="5" t="s">
        <v>13</v>
      </c>
      <c r="B232" s="7" t="s">
        <v>14</v>
      </c>
      <c r="C232" s="8">
        <v>1000</v>
      </c>
      <c r="D232" s="8">
        <v>6.444</v>
      </c>
      <c r="E232" s="8">
        <v>155.18311610000001</v>
      </c>
      <c r="F232" s="8">
        <v>1000</v>
      </c>
      <c r="G232" s="8">
        <v>6.3849999999999998</v>
      </c>
      <c r="H232" s="8">
        <f t="shared" ref="H232:H237" si="23">F232/G232</f>
        <v>156.61707126076743</v>
      </c>
    </row>
    <row r="233" spans="1:8" ht="15.75" thickBot="1">
      <c r="A233" s="5" t="s">
        <v>15</v>
      </c>
      <c r="B233" s="7" t="s">
        <v>16</v>
      </c>
      <c r="C233" s="8">
        <v>1000</v>
      </c>
      <c r="D233" s="8">
        <v>12.311999999999999</v>
      </c>
      <c r="E233" s="8">
        <v>81.221572449999996</v>
      </c>
      <c r="F233" s="8">
        <v>1000</v>
      </c>
      <c r="G233" s="8">
        <v>12.443</v>
      </c>
      <c r="H233" s="8">
        <f t="shared" si="23"/>
        <v>80.366471108253634</v>
      </c>
    </row>
    <row r="234" spans="1:8" ht="15.75" thickBot="1">
      <c r="A234" s="5" t="s">
        <v>17</v>
      </c>
      <c r="B234" s="7" t="s">
        <v>18</v>
      </c>
      <c r="C234" s="8">
        <v>1000</v>
      </c>
      <c r="D234" s="8">
        <v>12.818</v>
      </c>
      <c r="E234" s="8">
        <v>78.015291000000005</v>
      </c>
      <c r="F234" s="8">
        <v>1000</v>
      </c>
      <c r="G234" s="8">
        <v>12.894</v>
      </c>
      <c r="H234" s="8">
        <f t="shared" si="23"/>
        <v>77.555452148286022</v>
      </c>
    </row>
    <row r="235" spans="1:8" ht="15.75" thickBot="1">
      <c r="A235" s="5" t="s">
        <v>19</v>
      </c>
      <c r="B235" s="7" t="s">
        <v>20</v>
      </c>
      <c r="C235" s="8">
        <v>1000</v>
      </c>
      <c r="D235" s="8">
        <v>10.298999999999999</v>
      </c>
      <c r="E235" s="8">
        <v>97.096805520000004</v>
      </c>
      <c r="F235" s="8">
        <v>1000</v>
      </c>
      <c r="G235" s="8">
        <v>10.428000000000001</v>
      </c>
      <c r="H235" s="8">
        <f t="shared" si="23"/>
        <v>95.895665515918679</v>
      </c>
    </row>
    <row r="236" spans="1:8" ht="15.75" thickBot="1">
      <c r="A236" s="5" t="s">
        <v>21</v>
      </c>
      <c r="B236" s="7" t="s">
        <v>22</v>
      </c>
      <c r="C236" s="8">
        <v>1000</v>
      </c>
      <c r="D236" s="8">
        <v>11.202999999999999</v>
      </c>
      <c r="E236" s="8">
        <v>89.261804870000006</v>
      </c>
      <c r="F236" s="8">
        <v>1000</v>
      </c>
      <c r="G236" s="8">
        <v>18.266999999999999</v>
      </c>
      <c r="H236" s="8">
        <f t="shared" si="23"/>
        <v>54.743526577982152</v>
      </c>
    </row>
    <row r="237" spans="1:8" ht="15.75" thickBot="1">
      <c r="A237" s="5" t="s">
        <v>23</v>
      </c>
      <c r="B237" s="7" t="s">
        <v>24</v>
      </c>
      <c r="C237" s="8">
        <v>1000</v>
      </c>
      <c r="D237" s="8">
        <v>18.013999999999999</v>
      </c>
      <c r="E237" s="8">
        <v>55.512379260000003</v>
      </c>
      <c r="F237" s="8">
        <v>1000</v>
      </c>
      <c r="G237" s="8">
        <v>11.304</v>
      </c>
      <c r="H237" s="8">
        <f t="shared" si="23"/>
        <v>88.46426043878273</v>
      </c>
    </row>
    <row r="238" spans="1:8" ht="15.75" thickBot="1">
      <c r="A238" s="5" t="s">
        <v>37</v>
      </c>
      <c r="B238" s="7" t="s">
        <v>38</v>
      </c>
      <c r="C238" s="8">
        <v>1000</v>
      </c>
      <c r="D238" s="8">
        <v>6.7830000000000004</v>
      </c>
      <c r="E238" s="8">
        <v>147.427392</v>
      </c>
      <c r="F238" s="8">
        <v>1000</v>
      </c>
      <c r="G238" s="8">
        <v>6.7249999999999996</v>
      </c>
      <c r="H238" s="8">
        <v>148.69890000000001</v>
      </c>
    </row>
    <row r="239" spans="1:8" ht="15.75" thickBot="1">
      <c r="A239" s="5" t="s">
        <v>40</v>
      </c>
      <c r="B239" s="7" t="s">
        <v>2</v>
      </c>
      <c r="C239" s="8">
        <v>1000</v>
      </c>
      <c r="D239" s="8">
        <v>12.475</v>
      </c>
      <c r="E239" s="8">
        <v>80.160320639999995</v>
      </c>
      <c r="F239" s="7"/>
      <c r="G239" s="7"/>
      <c r="H239" s="7"/>
    </row>
    <row r="240" spans="1:8" ht="15.75" thickBot="1">
      <c r="A240" s="5" t="s">
        <v>41</v>
      </c>
      <c r="B240" s="7" t="s">
        <v>3</v>
      </c>
      <c r="C240" s="8">
        <v>1000</v>
      </c>
      <c r="D240" s="8">
        <v>6.48</v>
      </c>
      <c r="E240" s="8">
        <v>154.32098769999999</v>
      </c>
      <c r="F240" s="7"/>
      <c r="G240" s="7"/>
      <c r="H240" s="7"/>
    </row>
    <row r="241" spans="1:8" ht="15.75" thickBot="1">
      <c r="A241" s="5" t="s">
        <v>42</v>
      </c>
      <c r="B241" s="7" t="s">
        <v>4</v>
      </c>
      <c r="C241" s="8">
        <v>2000</v>
      </c>
      <c r="D241" s="8">
        <v>8.1890000000000001</v>
      </c>
      <c r="E241" s="8">
        <v>244.23006470000001</v>
      </c>
      <c r="F241" s="7"/>
      <c r="G241" s="7"/>
      <c r="H241" s="7"/>
    </row>
    <row r="242" spans="1:8" ht="16.5">
      <c r="A242" s="4"/>
      <c r="B242" s="4"/>
      <c r="C242" s="4"/>
      <c r="D242" s="4"/>
      <c r="E242" s="4"/>
      <c r="F242" s="4"/>
      <c r="G242" s="4"/>
      <c r="H242" s="4"/>
    </row>
    <row r="243" spans="1:8" ht="17.25" thickBot="1">
      <c r="A243" s="4"/>
      <c r="B243" s="4"/>
      <c r="C243" s="4"/>
      <c r="D243" s="4"/>
      <c r="E243" s="4"/>
      <c r="F243" s="4"/>
      <c r="G243" s="4"/>
      <c r="H243" s="4"/>
    </row>
    <row r="244" spans="1:8" ht="17.25" thickBot="1">
      <c r="A244" s="10" t="s">
        <v>36</v>
      </c>
      <c r="B244" s="3" t="s">
        <v>6</v>
      </c>
      <c r="C244" s="3" t="s">
        <v>7</v>
      </c>
      <c r="D244" s="3" t="s">
        <v>8</v>
      </c>
      <c r="E244" s="3" t="s">
        <v>9</v>
      </c>
      <c r="F244" s="4"/>
      <c r="G244" s="4"/>
      <c r="H244" s="4"/>
    </row>
    <row r="245" spans="1:8" ht="17.25" thickBot="1">
      <c r="A245" s="5" t="s">
        <v>11</v>
      </c>
      <c r="B245" s="7" t="s">
        <v>12</v>
      </c>
      <c r="C245" s="8">
        <v>1000</v>
      </c>
      <c r="D245" s="8">
        <v>9.7590000000000003</v>
      </c>
      <c r="E245" s="8">
        <f t="shared" ref="E245" si="24">C245/D245</f>
        <v>102.46951531919254</v>
      </c>
      <c r="F245" s="4"/>
      <c r="G245" s="4"/>
      <c r="H245" s="4"/>
    </row>
    <row r="246" spans="1:8" ht="17.25" thickBot="1">
      <c r="A246" s="5" t="s">
        <v>13</v>
      </c>
      <c r="B246" s="7" t="s">
        <v>14</v>
      </c>
      <c r="C246" s="8">
        <v>1000</v>
      </c>
      <c r="D246" s="8">
        <v>5.891</v>
      </c>
      <c r="E246" s="8">
        <v>169.7504668</v>
      </c>
      <c r="F246" s="4"/>
      <c r="G246" s="4"/>
      <c r="H246" s="4"/>
    </row>
    <row r="247" spans="1:8" ht="17.25" thickBot="1">
      <c r="A247" s="5" t="s">
        <v>15</v>
      </c>
      <c r="B247" s="7" t="s">
        <v>16</v>
      </c>
      <c r="C247" s="8">
        <v>1000</v>
      </c>
      <c r="D247" s="8">
        <v>11.737</v>
      </c>
      <c r="E247" s="8">
        <v>85.200647520000004</v>
      </c>
      <c r="F247" s="4"/>
      <c r="G247" s="4"/>
      <c r="H247" s="4"/>
    </row>
    <row r="248" spans="1:8" ht="17.25" thickBot="1">
      <c r="A248" s="5" t="s">
        <v>17</v>
      </c>
      <c r="B248" s="7" t="s">
        <v>18</v>
      </c>
      <c r="C248" s="8">
        <v>1000</v>
      </c>
      <c r="D248" s="8">
        <v>11.823</v>
      </c>
      <c r="E248" s="8">
        <v>84.58090163</v>
      </c>
      <c r="F248" s="4"/>
      <c r="G248" s="4"/>
      <c r="H248" s="4"/>
    </row>
    <row r="249" spans="1:8" ht="17.25" thickBot="1">
      <c r="A249" s="5" t="s">
        <v>19</v>
      </c>
      <c r="B249" s="7" t="s">
        <v>20</v>
      </c>
      <c r="C249" s="8">
        <v>1000</v>
      </c>
      <c r="D249" s="8">
        <v>9.9190000000000005</v>
      </c>
      <c r="E249" s="8">
        <v>100.81661459999999</v>
      </c>
      <c r="F249" s="4"/>
      <c r="G249" s="4"/>
      <c r="H249" s="4"/>
    </row>
    <row r="250" spans="1:8" ht="17.25" thickBot="1">
      <c r="A250" s="5" t="s">
        <v>21</v>
      </c>
      <c r="B250" s="7" t="s">
        <v>22</v>
      </c>
      <c r="C250" s="8">
        <v>1000</v>
      </c>
      <c r="D250" s="8">
        <v>17.571000000000002</v>
      </c>
      <c r="E250" s="8">
        <v>56.911957200000003</v>
      </c>
      <c r="F250" s="4"/>
      <c r="G250" s="4"/>
      <c r="H250" s="4"/>
    </row>
    <row r="251" spans="1:8" ht="17.25" thickBot="1">
      <c r="A251" s="5" t="s">
        <v>23</v>
      </c>
      <c r="B251" s="7" t="s">
        <v>24</v>
      </c>
      <c r="C251" s="8">
        <v>1000</v>
      </c>
      <c r="D251" s="8">
        <v>10.412000000000001</v>
      </c>
      <c r="E251" s="8">
        <v>96.043027280000004</v>
      </c>
      <c r="F251" s="4"/>
      <c r="G251" s="4"/>
      <c r="H251" s="4"/>
    </row>
    <row r="252" spans="1:8" ht="17.25" thickBot="1">
      <c r="A252" s="5" t="s">
        <v>37</v>
      </c>
      <c r="B252" s="7" t="s">
        <v>38</v>
      </c>
      <c r="C252" s="8">
        <v>1000</v>
      </c>
      <c r="D252" s="8">
        <v>6.1719999999999997</v>
      </c>
      <c r="E252" s="8">
        <v>162.02203499999999</v>
      </c>
      <c r="F252" s="4"/>
      <c r="G252" s="4"/>
      <c r="H252" s="4"/>
    </row>
    <row r="253" spans="1:8" ht="17.25" thickBot="1">
      <c r="A253" s="5" t="s">
        <v>40</v>
      </c>
      <c r="B253" s="7" t="s">
        <v>2</v>
      </c>
      <c r="C253" s="8">
        <v>1000</v>
      </c>
      <c r="D253" s="8">
        <v>12.006</v>
      </c>
      <c r="E253" s="8">
        <v>83.291687490000001</v>
      </c>
      <c r="F253" s="4"/>
      <c r="G253" s="4"/>
      <c r="H253" s="4"/>
    </row>
    <row r="254" spans="1:8" ht="17.25" thickBot="1">
      <c r="A254" s="5" t="s">
        <v>41</v>
      </c>
      <c r="B254" s="7" t="s">
        <v>3</v>
      </c>
      <c r="C254" s="8">
        <v>1000</v>
      </c>
      <c r="D254" s="8">
        <v>5.8120000000000003</v>
      </c>
      <c r="E254" s="8">
        <v>172.05781139999999</v>
      </c>
      <c r="F254" s="4"/>
      <c r="G254" s="4"/>
      <c r="H254" s="4"/>
    </row>
    <row r="255" spans="1:8" ht="17.25" thickBot="1">
      <c r="A255" s="5" t="s">
        <v>42</v>
      </c>
      <c r="B255" s="7" t="s">
        <v>4</v>
      </c>
      <c r="C255" s="8">
        <v>2000</v>
      </c>
      <c r="D255" s="8">
        <v>7.7779999999999996</v>
      </c>
      <c r="E255" s="8">
        <v>257.13551039999999</v>
      </c>
      <c r="F255" s="4"/>
      <c r="G255" s="4"/>
      <c r="H255" s="4"/>
    </row>
    <row r="256" spans="1:8" ht="16.5">
      <c r="A256" s="4"/>
      <c r="B256" s="4"/>
      <c r="C256" s="4"/>
      <c r="D256" s="4"/>
      <c r="E256" s="4"/>
      <c r="F256" s="4"/>
      <c r="G256" s="4"/>
      <c r="H256" s="4"/>
    </row>
    <row r="257" spans="1:8" ht="17.25" thickBot="1">
      <c r="A257" s="4"/>
      <c r="B257" s="4"/>
      <c r="C257" s="4"/>
      <c r="D257" s="4"/>
      <c r="E257" s="4"/>
      <c r="F257" s="4"/>
      <c r="G257" s="4"/>
      <c r="H257" s="4"/>
    </row>
    <row r="258" spans="1:8" ht="17.25" thickBot="1">
      <c r="A258" s="10" t="s">
        <v>25</v>
      </c>
      <c r="B258" s="3" t="s">
        <v>6</v>
      </c>
      <c r="C258" s="3" t="s">
        <v>7</v>
      </c>
      <c r="D258" s="3" t="s">
        <v>8</v>
      </c>
      <c r="E258" s="3" t="s">
        <v>9</v>
      </c>
      <c r="F258" s="4"/>
      <c r="G258" s="4"/>
      <c r="H258" s="4"/>
    </row>
    <row r="259" spans="1:8" ht="17.25" thickBot="1">
      <c r="A259" s="5" t="s">
        <v>11</v>
      </c>
      <c r="B259" s="7" t="s">
        <v>12</v>
      </c>
      <c r="C259" s="8">
        <v>1000</v>
      </c>
      <c r="D259" s="8">
        <v>9.2330000000000005</v>
      </c>
      <c r="E259" s="8">
        <f t="shared" ref="E259:E269" si="25">C259/D259</f>
        <v>108.30715910321672</v>
      </c>
      <c r="F259" s="4"/>
      <c r="G259" s="4"/>
      <c r="H259" s="4"/>
    </row>
    <row r="260" spans="1:8" ht="17.25" thickBot="1">
      <c r="A260" s="5" t="s">
        <v>13</v>
      </c>
      <c r="B260" s="7" t="s">
        <v>14</v>
      </c>
      <c r="C260" s="8">
        <v>1000</v>
      </c>
      <c r="D260" s="8">
        <v>5.56</v>
      </c>
      <c r="E260" s="8">
        <f t="shared" si="25"/>
        <v>179.85611510791369</v>
      </c>
      <c r="F260" s="4"/>
      <c r="G260" s="4"/>
      <c r="H260" s="4"/>
    </row>
    <row r="261" spans="1:8" ht="17.25" thickBot="1">
      <c r="A261" s="5" t="s">
        <v>15</v>
      </c>
      <c r="B261" s="7" t="s">
        <v>16</v>
      </c>
      <c r="C261" s="8">
        <v>1000</v>
      </c>
      <c r="D261" s="8">
        <v>11.254</v>
      </c>
      <c r="E261" s="8">
        <f t="shared" si="25"/>
        <v>88.85729518393461</v>
      </c>
      <c r="F261" s="4"/>
      <c r="G261" s="4"/>
      <c r="H261" s="4"/>
    </row>
    <row r="262" spans="1:8" ht="17.25" thickBot="1">
      <c r="A262" s="5" t="s">
        <v>17</v>
      </c>
      <c r="B262" s="7" t="s">
        <v>18</v>
      </c>
      <c r="C262" s="8">
        <v>1000</v>
      </c>
      <c r="D262" s="8">
        <v>11.16</v>
      </c>
      <c r="E262" s="8">
        <f t="shared" si="25"/>
        <v>89.605734767025083</v>
      </c>
      <c r="F262" s="4"/>
      <c r="G262" s="4"/>
      <c r="H262" s="4"/>
    </row>
    <row r="263" spans="1:8" ht="17.25" thickBot="1">
      <c r="A263" s="5" t="s">
        <v>19</v>
      </c>
      <c r="B263" s="7" t="s">
        <v>20</v>
      </c>
      <c r="C263" s="8">
        <v>1000</v>
      </c>
      <c r="D263" s="8">
        <v>9.4979999999999993</v>
      </c>
      <c r="E263" s="8">
        <f t="shared" si="25"/>
        <v>105.28532322594231</v>
      </c>
      <c r="F263" s="4"/>
      <c r="G263" s="4"/>
      <c r="H263" s="4"/>
    </row>
    <row r="264" spans="1:8" ht="17.25" thickBot="1">
      <c r="A264" s="5" t="s">
        <v>21</v>
      </c>
      <c r="B264" s="7" t="s">
        <v>22</v>
      </c>
      <c r="C264" s="8">
        <v>1000</v>
      </c>
      <c r="D264" s="8">
        <v>16.966000000000001</v>
      </c>
      <c r="E264" s="8">
        <f t="shared" si="25"/>
        <v>58.941412236237177</v>
      </c>
      <c r="F264" s="4"/>
      <c r="G264" s="4"/>
      <c r="H264" s="4"/>
    </row>
    <row r="265" spans="1:8" ht="17.25" thickBot="1">
      <c r="A265" s="5" t="s">
        <v>23</v>
      </c>
      <c r="B265" s="7" t="s">
        <v>24</v>
      </c>
      <c r="C265" s="8">
        <v>1000</v>
      </c>
      <c r="D265" s="8">
        <v>9.7859999999999996</v>
      </c>
      <c r="E265" s="8">
        <f t="shared" si="25"/>
        <v>102.18679746576743</v>
      </c>
      <c r="F265" s="4"/>
      <c r="G265" s="4"/>
      <c r="H265" s="4"/>
    </row>
    <row r="266" spans="1:8" ht="17.25" thickBot="1">
      <c r="A266" s="5" t="s">
        <v>37</v>
      </c>
      <c r="B266" s="7" t="s">
        <v>38</v>
      </c>
      <c r="C266" s="8">
        <v>1000</v>
      </c>
      <c r="D266" s="8">
        <v>5.681</v>
      </c>
      <c r="E266" s="8">
        <f t="shared" si="25"/>
        <v>176.0253476500616</v>
      </c>
      <c r="F266" s="4"/>
      <c r="G266" s="4"/>
      <c r="H266" s="4"/>
    </row>
    <row r="267" spans="1:8" ht="17.25" thickBot="1">
      <c r="A267" s="5" t="s">
        <v>40</v>
      </c>
      <c r="B267" s="7" t="s">
        <v>2</v>
      </c>
      <c r="C267" s="8">
        <v>1000</v>
      </c>
      <c r="D267" s="8">
        <v>11.412000000000001</v>
      </c>
      <c r="E267" s="8">
        <f t="shared" si="25"/>
        <v>87.627059235892034</v>
      </c>
      <c r="F267" s="4"/>
      <c r="G267" s="4"/>
      <c r="H267" s="4"/>
    </row>
    <row r="268" spans="1:8" ht="17.25" thickBot="1">
      <c r="A268" s="5" t="s">
        <v>41</v>
      </c>
      <c r="B268" s="7" t="s">
        <v>3</v>
      </c>
      <c r="C268" s="8">
        <v>1000</v>
      </c>
      <c r="D268" s="8">
        <v>5.4809999999999999</v>
      </c>
      <c r="E268" s="8">
        <f t="shared" si="25"/>
        <v>182.44845831052729</v>
      </c>
      <c r="F268" s="4"/>
      <c r="G268" s="4"/>
      <c r="H268" s="4"/>
    </row>
    <row r="269" spans="1:8" ht="17.25" thickBot="1">
      <c r="A269" s="5" t="s">
        <v>42</v>
      </c>
      <c r="B269" s="7" t="s">
        <v>4</v>
      </c>
      <c r="C269" s="8">
        <v>2000</v>
      </c>
      <c r="D269" s="8">
        <v>7.2850000000000001</v>
      </c>
      <c r="E269" s="8">
        <f t="shared" si="25"/>
        <v>274.53671928620452</v>
      </c>
      <c r="F269" s="4"/>
      <c r="G269" s="4"/>
      <c r="H269" s="4"/>
    </row>
    <row r="270" spans="1:8">
      <c r="A270" s="18"/>
      <c r="B270" s="19"/>
      <c r="C270" s="19"/>
      <c r="D270" s="19"/>
      <c r="E270" s="19"/>
      <c r="F270" s="19"/>
      <c r="G270" s="19"/>
      <c r="H270" s="19"/>
    </row>
    <row r="271" spans="1:8" ht="15.75" thickBot="1"/>
    <row r="272" spans="1:8" ht="15.75" thickBot="1">
      <c r="A272" s="10" t="s">
        <v>26</v>
      </c>
      <c r="B272" s="3" t="s">
        <v>6</v>
      </c>
      <c r="C272" s="3" t="s">
        <v>7</v>
      </c>
      <c r="D272" s="3" t="s">
        <v>8</v>
      </c>
      <c r="E272" s="3" t="s">
        <v>9</v>
      </c>
    </row>
    <row r="273" spans="1:8" ht="15.75" thickBot="1">
      <c r="A273" s="5" t="s">
        <v>11</v>
      </c>
      <c r="B273" s="7" t="s">
        <v>12</v>
      </c>
      <c r="C273" s="8">
        <v>1000</v>
      </c>
      <c r="D273" s="8">
        <v>9.2870000000000008</v>
      </c>
      <c r="E273" s="8">
        <f t="shared" ref="E273:E283" si="26">C273/D273</f>
        <v>107.67739851405189</v>
      </c>
    </row>
    <row r="274" spans="1:8" ht="15.75" thickBot="1">
      <c r="A274" s="5" t="s">
        <v>13</v>
      </c>
      <c r="B274" s="7" t="s">
        <v>14</v>
      </c>
      <c r="C274" s="8">
        <v>1000</v>
      </c>
      <c r="D274" s="8">
        <v>5.6440000000000001</v>
      </c>
      <c r="E274" s="8">
        <f t="shared" si="26"/>
        <v>177.17930545712261</v>
      </c>
    </row>
    <row r="275" spans="1:8" ht="15.75" thickBot="1">
      <c r="A275" s="5" t="s">
        <v>15</v>
      </c>
      <c r="B275" s="7" t="s">
        <v>16</v>
      </c>
      <c r="C275" s="8">
        <v>1000</v>
      </c>
      <c r="D275" s="8">
        <v>11.364000000000001</v>
      </c>
      <c r="E275" s="8">
        <f t="shared" si="26"/>
        <v>87.997184090109116</v>
      </c>
    </row>
    <row r="276" spans="1:8" ht="15.75" thickBot="1">
      <c r="A276" s="5" t="s">
        <v>17</v>
      </c>
      <c r="B276" s="7" t="s">
        <v>18</v>
      </c>
      <c r="C276" s="8">
        <v>1000</v>
      </c>
      <c r="D276" s="8">
        <v>11.377000000000001</v>
      </c>
      <c r="E276" s="8">
        <f t="shared" si="26"/>
        <v>87.896633558934681</v>
      </c>
    </row>
    <row r="277" spans="1:8" ht="15.75" thickBot="1">
      <c r="A277" s="5" t="s">
        <v>19</v>
      </c>
      <c r="B277" s="7" t="s">
        <v>20</v>
      </c>
      <c r="C277" s="8">
        <v>1000</v>
      </c>
      <c r="D277" s="8">
        <v>9.5069999999999997</v>
      </c>
      <c r="E277" s="8">
        <f t="shared" si="26"/>
        <v>105.18565267697487</v>
      </c>
    </row>
    <row r="278" spans="1:8" ht="15.75" thickBot="1">
      <c r="A278" s="5" t="s">
        <v>21</v>
      </c>
      <c r="B278" s="7" t="s">
        <v>22</v>
      </c>
      <c r="C278" s="8">
        <v>1000</v>
      </c>
      <c r="D278" s="8">
        <v>17.096</v>
      </c>
      <c r="E278" s="8">
        <f t="shared" si="26"/>
        <v>58.493214787084696</v>
      </c>
    </row>
    <row r="279" spans="1:8" ht="15.75" thickBot="1">
      <c r="A279" s="5" t="s">
        <v>23</v>
      </c>
      <c r="B279" s="7" t="s">
        <v>24</v>
      </c>
      <c r="C279" s="8">
        <v>1000</v>
      </c>
      <c r="D279" s="8">
        <v>9.9700000000000006</v>
      </c>
      <c r="E279" s="8">
        <f t="shared" si="26"/>
        <v>100.30090270812437</v>
      </c>
    </row>
    <row r="280" spans="1:8" ht="15.75" thickBot="1">
      <c r="A280" s="5" t="s">
        <v>37</v>
      </c>
      <c r="B280" s="7" t="s">
        <v>38</v>
      </c>
      <c r="C280" s="8">
        <v>1000</v>
      </c>
      <c r="D280" s="8">
        <v>5.7809999999999997</v>
      </c>
      <c r="E280" s="8">
        <f t="shared" si="26"/>
        <v>172.98045320878742</v>
      </c>
    </row>
    <row r="281" spans="1:8" ht="15.75" thickBot="1">
      <c r="A281" s="5" t="s">
        <v>40</v>
      </c>
      <c r="B281" s="7" t="s">
        <v>2</v>
      </c>
      <c r="C281" s="8">
        <v>1000</v>
      </c>
      <c r="D281" s="8">
        <v>11.535</v>
      </c>
      <c r="E281" s="8">
        <f t="shared" si="26"/>
        <v>86.692674469007372</v>
      </c>
    </row>
    <row r="282" spans="1:8" ht="15.75" thickBot="1">
      <c r="A282" s="5" t="s">
        <v>41</v>
      </c>
      <c r="B282" s="7" t="s">
        <v>3</v>
      </c>
      <c r="C282" s="8">
        <v>1000</v>
      </c>
      <c r="D282" s="8">
        <v>5.6040000000000001</v>
      </c>
      <c r="E282" s="8">
        <f t="shared" si="26"/>
        <v>178.44396859386151</v>
      </c>
    </row>
    <row r="283" spans="1:8" ht="15.75" thickBot="1">
      <c r="A283" s="5" t="s">
        <v>42</v>
      </c>
      <c r="B283" s="7" t="s">
        <v>4</v>
      </c>
      <c r="C283" s="8">
        <v>2000</v>
      </c>
      <c r="D283" s="8">
        <v>7.4080000000000004</v>
      </c>
      <c r="E283" s="8">
        <f t="shared" si="26"/>
        <v>269.97840172786175</v>
      </c>
    </row>
    <row r="287" spans="1:8" ht="15.75" thickBot="1">
      <c r="F287" s="82"/>
    </row>
    <row r="288" spans="1:8" ht="30.75" thickBot="1">
      <c r="A288" s="61" t="s">
        <v>27</v>
      </c>
      <c r="B288" s="62" t="s">
        <v>6</v>
      </c>
      <c r="C288" s="62" t="s">
        <v>7</v>
      </c>
      <c r="D288" s="62" t="s">
        <v>8</v>
      </c>
      <c r="E288" s="81" t="s">
        <v>9</v>
      </c>
      <c r="F288" s="61" t="s">
        <v>134</v>
      </c>
      <c r="H288" s="85"/>
    </row>
    <row r="289" spans="1:8" ht="15.75" thickBot="1">
      <c r="A289" s="63" t="s">
        <v>85</v>
      </c>
      <c r="B289" s="64" t="s">
        <v>86</v>
      </c>
      <c r="C289" s="65">
        <v>1000</v>
      </c>
      <c r="D289" s="65">
        <v>20.16</v>
      </c>
      <c r="E289" s="8">
        <f t="shared" ref="E289:E308" si="27">C289/D289</f>
        <v>49.603174603174601</v>
      </c>
      <c r="F289" s="83">
        <f>MF_4!$Y$163</f>
        <v>49.6</v>
      </c>
      <c r="H289" s="84"/>
    </row>
    <row r="290" spans="1:8" ht="15.75" thickBot="1">
      <c r="A290" s="63" t="s">
        <v>87</v>
      </c>
      <c r="B290" s="64" t="s">
        <v>88</v>
      </c>
      <c r="C290" s="65">
        <v>1000</v>
      </c>
      <c r="D290" s="65">
        <v>11.71</v>
      </c>
      <c r="E290" s="8">
        <f t="shared" si="27"/>
        <v>85.397096498719037</v>
      </c>
      <c r="F290" s="83">
        <f>MF_4!$AE$163</f>
        <v>85.39</v>
      </c>
      <c r="H290" s="40"/>
    </row>
    <row r="291" spans="1:8" ht="15.75" thickBot="1">
      <c r="A291" s="63" t="s">
        <v>89</v>
      </c>
      <c r="B291" s="64" t="s">
        <v>90</v>
      </c>
      <c r="C291" s="65">
        <v>1000</v>
      </c>
      <c r="D291" s="65">
        <v>60.164999999999999</v>
      </c>
      <c r="E291" s="8">
        <f t="shared" si="27"/>
        <v>16.620959029335992</v>
      </c>
      <c r="F291" s="83">
        <f>MF_4!$AA$163</f>
        <v>16.62</v>
      </c>
      <c r="H291" s="40"/>
    </row>
    <row r="292" spans="1:8" ht="15.75" thickBot="1">
      <c r="A292" s="63" t="s">
        <v>91</v>
      </c>
      <c r="B292" s="64" t="s">
        <v>92</v>
      </c>
      <c r="C292" s="65">
        <v>1000</v>
      </c>
      <c r="D292" s="65">
        <v>22.120999999999999</v>
      </c>
      <c r="E292" s="8">
        <f t="shared" si="27"/>
        <v>45.205912933411696</v>
      </c>
      <c r="F292" s="83">
        <f>MF_4!$AC$163</f>
        <v>45.204000000000001</v>
      </c>
      <c r="H292" s="40"/>
    </row>
    <row r="293" spans="1:8" ht="15.75" thickBot="1">
      <c r="A293" s="63" t="s">
        <v>93</v>
      </c>
      <c r="B293" s="64" t="s">
        <v>94</v>
      </c>
      <c r="C293" s="65">
        <v>1000</v>
      </c>
      <c r="D293" s="65">
        <v>37.372</v>
      </c>
      <c r="E293" s="8">
        <f t="shared" si="27"/>
        <v>26.758000642192016</v>
      </c>
      <c r="F293" s="83">
        <f>MF_4!$AG$163</f>
        <v>26.757000000000001</v>
      </c>
      <c r="H293" s="40"/>
    </row>
    <row r="294" spans="1:8" ht="15.75" thickBot="1">
      <c r="A294" s="63" t="s">
        <v>95</v>
      </c>
      <c r="B294" s="64" t="s">
        <v>96</v>
      </c>
      <c r="C294" s="65">
        <v>1000</v>
      </c>
      <c r="D294" s="65">
        <v>23.33</v>
      </c>
      <c r="E294" s="8">
        <f t="shared" si="27"/>
        <v>42.863266180882988</v>
      </c>
      <c r="F294" s="83">
        <f>MF_4!$AI$163</f>
        <v>42.861899999999999</v>
      </c>
      <c r="H294" s="40"/>
    </row>
    <row r="295" spans="1:8" ht="15.75" thickBot="1">
      <c r="A295" s="63" t="s">
        <v>11</v>
      </c>
      <c r="B295" s="64" t="s">
        <v>12</v>
      </c>
      <c r="C295" s="65">
        <v>1000</v>
      </c>
      <c r="D295" s="65">
        <v>8.9540000000000006</v>
      </c>
      <c r="E295" s="8">
        <f t="shared" si="27"/>
        <v>111.68192986374804</v>
      </c>
      <c r="F295" s="83">
        <f>MF_4!$O$163</f>
        <v>111.682</v>
      </c>
      <c r="H295" s="40"/>
    </row>
    <row r="296" spans="1:8" ht="15.75" thickBot="1">
      <c r="A296" s="63" t="s">
        <v>97</v>
      </c>
      <c r="B296" s="64" t="s">
        <v>98</v>
      </c>
      <c r="C296" s="65">
        <v>1000</v>
      </c>
      <c r="D296" s="65">
        <v>12.946</v>
      </c>
      <c r="E296" s="8">
        <f t="shared" si="27"/>
        <v>77.243936350996449</v>
      </c>
      <c r="F296" s="83">
        <f>MF_4!$AM$166</f>
        <v>77.641000000000005</v>
      </c>
      <c r="H296" s="40"/>
    </row>
    <row r="297" spans="1:8" ht="15.75" thickBot="1">
      <c r="A297" s="63" t="s">
        <v>99</v>
      </c>
      <c r="B297" s="64" t="s">
        <v>100</v>
      </c>
      <c r="C297" s="65">
        <v>1000</v>
      </c>
      <c r="D297" s="65">
        <v>21.14</v>
      </c>
      <c r="E297" s="8">
        <f t="shared" si="27"/>
        <v>47.303689687795647</v>
      </c>
      <c r="F297" s="83">
        <f>MF_4!$AK$166</f>
        <v>47.017000000000003</v>
      </c>
      <c r="H297" s="40"/>
    </row>
    <row r="298" spans="1:8" ht="15.75" thickBot="1">
      <c r="A298" s="63" t="s">
        <v>41</v>
      </c>
      <c r="B298" s="64" t="s">
        <v>52</v>
      </c>
      <c r="C298" s="65">
        <v>1000</v>
      </c>
      <c r="D298" s="65">
        <v>5.4020000000000001</v>
      </c>
      <c r="E298" s="8">
        <f t="shared" si="27"/>
        <v>185.11662347278786</v>
      </c>
      <c r="F298" s="83">
        <f>MF_4!$U$166</f>
        <v>185.09829999999999</v>
      </c>
      <c r="H298" s="40"/>
    </row>
    <row r="299" spans="1:8" ht="15.75" thickBot="1">
      <c r="A299" s="63" t="s">
        <v>13</v>
      </c>
      <c r="B299" s="64" t="s">
        <v>14</v>
      </c>
      <c r="C299" s="65">
        <v>1000</v>
      </c>
      <c r="D299" s="65">
        <v>5.4420000000000002</v>
      </c>
      <c r="E299" s="8">
        <f t="shared" si="27"/>
        <v>183.75597206909225</v>
      </c>
      <c r="F299" s="83">
        <f>MF_4!$G$166</f>
        <v>183.74459999999999</v>
      </c>
      <c r="H299" s="40"/>
    </row>
    <row r="300" spans="1:8" ht="15.75" thickBot="1">
      <c r="A300" s="63" t="s">
        <v>15</v>
      </c>
      <c r="B300" s="64" t="s">
        <v>16</v>
      </c>
      <c r="C300" s="65">
        <v>1000</v>
      </c>
      <c r="D300" s="65">
        <v>10.968</v>
      </c>
      <c r="E300" s="8">
        <f t="shared" si="27"/>
        <v>91.17432530999271</v>
      </c>
      <c r="F300" s="83">
        <f>MF_4!$I$166</f>
        <v>91.166899999999998</v>
      </c>
      <c r="H300" s="40"/>
    </row>
    <row r="301" spans="1:8" ht="15.75" thickBot="1">
      <c r="A301" s="63" t="s">
        <v>17</v>
      </c>
      <c r="B301" s="64" t="s">
        <v>18</v>
      </c>
      <c r="C301" s="65">
        <v>1000</v>
      </c>
      <c r="D301" s="65">
        <v>10.93</v>
      </c>
      <c r="E301" s="8">
        <f t="shared" si="27"/>
        <v>91.491308325709056</v>
      </c>
      <c r="F301" s="83">
        <f>MF_4!$K$166</f>
        <v>91.49</v>
      </c>
      <c r="H301" s="40"/>
    </row>
    <row r="302" spans="1:8" ht="15.75" thickBot="1">
      <c r="A302" s="63" t="s">
        <v>19</v>
      </c>
      <c r="B302" s="64" t="s">
        <v>20</v>
      </c>
      <c r="C302" s="65">
        <v>1000</v>
      </c>
      <c r="D302" s="65">
        <v>9.1959999999999997</v>
      </c>
      <c r="E302" s="8">
        <f t="shared" si="27"/>
        <v>108.74293170943889</v>
      </c>
      <c r="F302" s="83">
        <f>MF_4!$M$166</f>
        <v>108.74</v>
      </c>
      <c r="H302" s="40"/>
    </row>
    <row r="303" spans="1:8" ht="15.75" thickBot="1">
      <c r="A303" s="63" t="s">
        <v>42</v>
      </c>
      <c r="B303" s="64" t="s">
        <v>54</v>
      </c>
      <c r="C303" s="65">
        <v>2000</v>
      </c>
      <c r="D303" s="65">
        <v>7.149</v>
      </c>
      <c r="E303" s="8">
        <f t="shared" si="27"/>
        <v>279.75940691005735</v>
      </c>
      <c r="F303" s="83">
        <f>MF_4!$W$166</f>
        <v>279.76490000000001</v>
      </c>
      <c r="H303" s="40"/>
    </row>
    <row r="304" spans="1:8" ht="15.75" thickBot="1">
      <c r="A304" s="63" t="s">
        <v>21</v>
      </c>
      <c r="B304" s="64" t="s">
        <v>22</v>
      </c>
      <c r="C304" s="65">
        <v>1000</v>
      </c>
      <c r="D304" s="65">
        <v>16.36</v>
      </c>
      <c r="E304" s="8">
        <f t="shared" si="27"/>
        <v>61.124694376528119</v>
      </c>
      <c r="F304" s="83">
        <f>MF_4!$E$166</f>
        <v>61.12</v>
      </c>
      <c r="H304" s="40"/>
    </row>
    <row r="305" spans="1:8" ht="15.75" thickBot="1">
      <c r="A305" s="63" t="s">
        <v>23</v>
      </c>
      <c r="B305" s="64" t="s">
        <v>24</v>
      </c>
      <c r="C305" s="65">
        <v>1000</v>
      </c>
      <c r="D305" s="65">
        <v>9.4079999999999995</v>
      </c>
      <c r="E305" s="8">
        <f t="shared" si="27"/>
        <v>106.29251700680273</v>
      </c>
      <c r="F305" s="83">
        <f>MF_4!$C$166</f>
        <v>106.29</v>
      </c>
      <c r="H305" s="40"/>
    </row>
    <row r="306" spans="1:8" ht="15.75" thickBot="1">
      <c r="A306" s="63" t="s">
        <v>11</v>
      </c>
      <c r="B306" s="64" t="s">
        <v>12</v>
      </c>
      <c r="C306" s="65">
        <v>1000</v>
      </c>
      <c r="D306" s="65">
        <v>8.9209999999999994</v>
      </c>
      <c r="E306" s="8">
        <f t="shared" si="27"/>
        <v>112.09505660800359</v>
      </c>
      <c r="F306" s="83">
        <f>MF_4!$O$166</f>
        <v>112.09399999999999</v>
      </c>
      <c r="H306" s="40"/>
    </row>
    <row r="307" spans="1:8" ht="15.75" thickBot="1">
      <c r="A307" s="63" t="s">
        <v>37</v>
      </c>
      <c r="B307" s="64" t="s">
        <v>38</v>
      </c>
      <c r="C307" s="65">
        <v>1000</v>
      </c>
      <c r="D307" s="65">
        <v>5.5940000000000003</v>
      </c>
      <c r="E307" s="8">
        <f t="shared" si="27"/>
        <v>178.7629603146228</v>
      </c>
      <c r="F307" s="83">
        <f>MF_4!$Q$166</f>
        <v>178.7433</v>
      </c>
      <c r="H307" s="40"/>
    </row>
    <row r="308" spans="1:8" ht="15.75" thickBot="1">
      <c r="A308" s="63" t="s">
        <v>40</v>
      </c>
      <c r="B308" s="64" t="s">
        <v>53</v>
      </c>
      <c r="C308" s="65">
        <v>1000</v>
      </c>
      <c r="D308" s="65">
        <v>11.244</v>
      </c>
      <c r="E308" s="8">
        <f t="shared" si="27"/>
        <v>88.936321593738882</v>
      </c>
      <c r="F308" s="83">
        <f>MF_4!$S$166</f>
        <v>88.932000000000002</v>
      </c>
      <c r="H308" s="40"/>
    </row>
    <row r="309" spans="1:8">
      <c r="A309" s="1"/>
    </row>
    <row r="311" spans="1:8" ht="15.75" thickBot="1"/>
    <row r="312" spans="1:8" ht="30.75" thickBot="1">
      <c r="A312" s="61" t="s">
        <v>135</v>
      </c>
      <c r="B312" s="62" t="s">
        <v>6</v>
      </c>
      <c r="C312" s="62" t="s">
        <v>7</v>
      </c>
      <c r="D312" s="62" t="s">
        <v>8</v>
      </c>
      <c r="E312" s="81" t="s">
        <v>9</v>
      </c>
      <c r="F312" s="61" t="s">
        <v>134</v>
      </c>
    </row>
    <row r="313" spans="1:8" ht="15.75" thickBot="1">
      <c r="A313" s="63" t="s">
        <v>85</v>
      </c>
      <c r="B313" s="64" t="s">
        <v>136</v>
      </c>
      <c r="C313" s="65">
        <v>1000</v>
      </c>
      <c r="D313" s="65">
        <v>20.919</v>
      </c>
      <c r="E313" s="8">
        <f t="shared" ref="E313:E324" si="28">C313/D313</f>
        <v>47.803432286438166</v>
      </c>
      <c r="F313" s="83">
        <f>MF_4!Y194</f>
        <v>47.8</v>
      </c>
    </row>
    <row r="314" spans="1:8" ht="15.75" thickBot="1">
      <c r="A314" s="63" t="s">
        <v>41</v>
      </c>
      <c r="B314" s="64" t="s">
        <v>137</v>
      </c>
      <c r="C314" s="65">
        <v>1000</v>
      </c>
      <c r="D314" s="65">
        <v>5.548</v>
      </c>
      <c r="E314" s="8">
        <f t="shared" si="28"/>
        <v>180.24513338139869</v>
      </c>
      <c r="F314" s="83">
        <f>MF_4!U195</f>
        <v>180.23310000000001</v>
      </c>
    </row>
    <row r="315" spans="1:8" ht="15.75" thickBot="1">
      <c r="A315" s="63" t="s">
        <v>13</v>
      </c>
      <c r="B315" s="64" t="s">
        <v>138</v>
      </c>
      <c r="C315" s="65">
        <v>1000</v>
      </c>
      <c r="D315" s="65">
        <v>5.42</v>
      </c>
      <c r="E315" s="8">
        <f t="shared" si="28"/>
        <v>184.50184501845018</v>
      </c>
      <c r="F315" s="83">
        <f>MF_4!G195</f>
        <v>184.49369999999999</v>
      </c>
    </row>
    <row r="316" spans="1:8" ht="15.75" thickBot="1">
      <c r="A316" s="63" t="s">
        <v>15</v>
      </c>
      <c r="B316" s="64" t="s">
        <v>139</v>
      </c>
      <c r="C316" s="65">
        <v>1000</v>
      </c>
      <c r="D316" s="65">
        <v>10.853</v>
      </c>
      <c r="E316" s="8">
        <f t="shared" si="28"/>
        <v>92.14042200313277</v>
      </c>
      <c r="F316" s="83">
        <f>MF_4!I195</f>
        <v>92.132499999999993</v>
      </c>
    </row>
    <row r="317" spans="1:8" ht="15.75" thickBot="1">
      <c r="A317" s="63" t="s">
        <v>17</v>
      </c>
      <c r="B317" s="64" t="s">
        <v>140</v>
      </c>
      <c r="C317" s="65">
        <v>1000</v>
      </c>
      <c r="D317" s="65">
        <v>11.103</v>
      </c>
      <c r="E317" s="8">
        <f t="shared" si="28"/>
        <v>90.065747996037103</v>
      </c>
      <c r="F317" s="83">
        <f>MF_4!K195</f>
        <v>90.06</v>
      </c>
    </row>
    <row r="318" spans="1:8" ht="15.75" thickBot="1">
      <c r="A318" s="63" t="s">
        <v>19</v>
      </c>
      <c r="B318" s="64" t="s">
        <v>141</v>
      </c>
      <c r="C318" s="65">
        <v>1000</v>
      </c>
      <c r="D318" s="65">
        <v>9.1790000000000003</v>
      </c>
      <c r="E318" s="8">
        <f t="shared" si="28"/>
        <v>108.94432944765225</v>
      </c>
      <c r="F318" s="83">
        <f>MF_4!M195</f>
        <v>108.94</v>
      </c>
    </row>
    <row r="319" spans="1:8" ht="15.75" thickBot="1">
      <c r="A319" s="63" t="s">
        <v>42</v>
      </c>
      <c r="B319" s="64" t="s">
        <v>142</v>
      </c>
      <c r="C319" s="65">
        <v>2000</v>
      </c>
      <c r="D319" s="65">
        <v>7.3010000000000002</v>
      </c>
      <c r="E319" s="8">
        <f t="shared" si="28"/>
        <v>273.93507738665937</v>
      </c>
      <c r="F319" s="83">
        <f>MF_4!W195</f>
        <v>273.90269999999998</v>
      </c>
    </row>
    <row r="320" spans="1:8" ht="15.75" thickBot="1">
      <c r="A320" s="63" t="s">
        <v>21</v>
      </c>
      <c r="B320" s="64" t="s">
        <v>143</v>
      </c>
      <c r="C320" s="65">
        <v>1000</v>
      </c>
      <c r="D320" s="65">
        <v>16.379000000000001</v>
      </c>
      <c r="E320" s="8">
        <f t="shared" si="28"/>
        <v>61.05378838756944</v>
      </c>
      <c r="F320" s="83">
        <f>MF_4!E195</f>
        <v>61.05</v>
      </c>
    </row>
    <row r="321" spans="1:6" ht="15.75" thickBot="1">
      <c r="A321" s="63" t="s">
        <v>23</v>
      </c>
      <c r="B321" s="64" t="s">
        <v>144</v>
      </c>
      <c r="C321" s="65">
        <v>1000</v>
      </c>
      <c r="D321" s="65">
        <v>9.3819999999999997</v>
      </c>
      <c r="E321" s="8">
        <f t="shared" si="28"/>
        <v>106.58708164570454</v>
      </c>
      <c r="F321" s="83">
        <f>MF_4!C195</f>
        <v>106.58</v>
      </c>
    </row>
    <row r="322" spans="1:6" ht="15.75" thickBot="1">
      <c r="A322" s="63" t="s">
        <v>11</v>
      </c>
      <c r="B322" s="64" t="s">
        <v>145</v>
      </c>
      <c r="C322" s="65">
        <v>1000</v>
      </c>
      <c r="D322" s="65">
        <v>8.9380000000000006</v>
      </c>
      <c r="E322" s="8">
        <f t="shared" si="28"/>
        <v>111.88185276348176</v>
      </c>
      <c r="F322" s="83">
        <f>MF_4!O195</f>
        <v>111.879</v>
      </c>
    </row>
    <row r="323" spans="1:6" ht="15.75" thickBot="1">
      <c r="A323" s="63" t="s">
        <v>37</v>
      </c>
      <c r="B323" s="64" t="s">
        <v>38</v>
      </c>
      <c r="C323" s="65">
        <v>1000</v>
      </c>
      <c r="D323" s="65">
        <v>5.6340000000000003</v>
      </c>
      <c r="E323" s="8">
        <f t="shared" si="28"/>
        <v>177.49378771742988</v>
      </c>
      <c r="F323" s="83">
        <f>MF_4!Q195</f>
        <v>177.48509999999999</v>
      </c>
    </row>
    <row r="324" spans="1:6" ht="15.75" thickBot="1">
      <c r="A324" s="63" t="s">
        <v>40</v>
      </c>
      <c r="B324" s="64" t="s">
        <v>146</v>
      </c>
      <c r="C324" s="65">
        <v>1000</v>
      </c>
      <c r="D324" s="65">
        <v>11.233000000000001</v>
      </c>
      <c r="E324" s="8">
        <f t="shared" si="28"/>
        <v>89.023413157660457</v>
      </c>
      <c r="F324" s="83">
        <f>MF_4!S195</f>
        <v>89.022300000000001</v>
      </c>
    </row>
    <row r="326" spans="1:6" ht="15.75" thickBot="1"/>
    <row r="327" spans="1:6" ht="30.75" thickBot="1">
      <c r="A327" s="61" t="s">
        <v>29</v>
      </c>
      <c r="B327" s="62" t="s">
        <v>6</v>
      </c>
      <c r="C327" s="62" t="s">
        <v>7</v>
      </c>
      <c r="D327" s="62" t="s">
        <v>8</v>
      </c>
      <c r="E327" s="81" t="s">
        <v>9</v>
      </c>
      <c r="F327" s="61" t="s">
        <v>134</v>
      </c>
    </row>
    <row r="328" spans="1:6" ht="15.75" thickBot="1">
      <c r="A328" s="63" t="s">
        <v>85</v>
      </c>
      <c r="B328" s="64" t="s">
        <v>136</v>
      </c>
      <c r="C328" s="65">
        <v>1000</v>
      </c>
      <c r="D328" s="65">
        <v>19.946999999999999</v>
      </c>
      <c r="E328" s="8">
        <f t="shared" ref="E328:E347" si="29">C328/D328</f>
        <v>50.132852057953578</v>
      </c>
      <c r="F328" s="83">
        <f>MF_4!Y224</f>
        <v>50.13</v>
      </c>
    </row>
    <row r="329" spans="1:6" ht="15.75" thickBot="1">
      <c r="A329" s="63" t="s">
        <v>97</v>
      </c>
      <c r="B329" s="64" t="s">
        <v>148</v>
      </c>
      <c r="C329" s="65">
        <v>1000</v>
      </c>
      <c r="D329" s="65">
        <v>13.238</v>
      </c>
      <c r="E329" s="8">
        <f t="shared" si="29"/>
        <v>75.540111799365462</v>
      </c>
      <c r="F329" s="83">
        <f>MF_4!AM224</f>
        <v>75.537000000000006</v>
      </c>
    </row>
    <row r="330" spans="1:6" ht="15.75" thickBot="1">
      <c r="A330" s="63" t="s">
        <v>99</v>
      </c>
      <c r="B330" s="64" t="s">
        <v>149</v>
      </c>
      <c r="C330" s="65">
        <v>1000</v>
      </c>
      <c r="D330" s="65">
        <v>20.974</v>
      </c>
      <c r="E330" s="8">
        <f t="shared" si="29"/>
        <v>47.678077619910361</v>
      </c>
      <c r="F330" s="83">
        <f>MF_4!AK224</f>
        <v>47.674999999999997</v>
      </c>
    </row>
    <row r="331" spans="1:6" ht="15.75" thickBot="1">
      <c r="A331" s="63" t="s">
        <v>95</v>
      </c>
      <c r="B331" s="64" t="s">
        <v>150</v>
      </c>
      <c r="C331" s="65">
        <v>1000</v>
      </c>
      <c r="D331" s="65">
        <v>22.628</v>
      </c>
      <c r="E331" s="8">
        <f t="shared" si="29"/>
        <v>44.193035177656</v>
      </c>
      <c r="F331" s="83">
        <f>MF_4!AI224</f>
        <v>44.191800000000001</v>
      </c>
    </row>
    <row r="332" spans="1:6" ht="15.75" thickBot="1">
      <c r="A332" s="63" t="s">
        <v>89</v>
      </c>
      <c r="B332" s="64" t="s">
        <v>151</v>
      </c>
      <c r="C332" s="65">
        <v>1000</v>
      </c>
      <c r="D332" s="65">
        <v>61.308999999999997</v>
      </c>
      <c r="E332" s="8">
        <f t="shared" si="29"/>
        <v>16.310818966220296</v>
      </c>
      <c r="F332" s="83">
        <f>MF_4!AA224</f>
        <v>16.309999999999999</v>
      </c>
    </row>
    <row r="333" spans="1:6" ht="15.75" thickBot="1">
      <c r="A333" s="63" t="s">
        <v>91</v>
      </c>
      <c r="B333" s="64" t="s">
        <v>152</v>
      </c>
      <c r="C333" s="65">
        <v>1000</v>
      </c>
      <c r="D333" s="65">
        <v>22.056000000000001</v>
      </c>
      <c r="E333" s="8">
        <f t="shared" si="29"/>
        <v>45.339136742836416</v>
      </c>
      <c r="F333" s="83">
        <f>MF_4!AC224</f>
        <v>45.335999999999999</v>
      </c>
    </row>
    <row r="334" spans="1:6" ht="15.75" thickBot="1">
      <c r="A334" s="63" t="s">
        <v>87</v>
      </c>
      <c r="B334" s="64" t="s">
        <v>153</v>
      </c>
      <c r="C334" s="65">
        <v>1000</v>
      </c>
      <c r="D334" s="65">
        <v>11.87</v>
      </c>
      <c r="E334" s="8">
        <f t="shared" si="29"/>
        <v>84.245998315080044</v>
      </c>
      <c r="F334" s="83">
        <f>MF_4!AE224</f>
        <v>84.24</v>
      </c>
    </row>
    <row r="335" spans="1:6" ht="15.75" thickBot="1">
      <c r="A335" s="63" t="s">
        <v>11</v>
      </c>
      <c r="B335" s="64" t="s">
        <v>145</v>
      </c>
      <c r="C335" s="65">
        <v>1000</v>
      </c>
      <c r="D335" s="65">
        <v>9.1</v>
      </c>
      <c r="E335" s="8">
        <f t="shared" si="29"/>
        <v>109.8901098901099</v>
      </c>
      <c r="F335" s="83">
        <f>MF_4!O224</f>
        <v>109.88800000000001</v>
      </c>
    </row>
    <row r="336" spans="1:6" ht="15.75" thickBot="1">
      <c r="A336" s="63" t="s">
        <v>93</v>
      </c>
      <c r="B336" s="64" t="s">
        <v>94</v>
      </c>
      <c r="C336" s="65">
        <v>1000</v>
      </c>
      <c r="D336" s="65">
        <v>37.639000000000003</v>
      </c>
      <c r="E336" s="8">
        <f t="shared" si="29"/>
        <v>26.568187252583755</v>
      </c>
      <c r="F336" s="83">
        <f>MF_4!AG224</f>
        <v>26.567</v>
      </c>
    </row>
    <row r="337" spans="1:6" ht="15.75" thickBot="1">
      <c r="A337" s="63" t="s">
        <v>147</v>
      </c>
      <c r="B337" s="64" t="s">
        <v>154</v>
      </c>
      <c r="C337" s="65">
        <v>2000</v>
      </c>
      <c r="D337" s="65">
        <v>14.276</v>
      </c>
      <c r="E337" s="8">
        <f t="shared" si="29"/>
        <v>140.09526478005043</v>
      </c>
      <c r="F337" s="83">
        <f>MF_4!AO226</f>
        <v>140.09100000000001</v>
      </c>
    </row>
    <row r="338" spans="1:6" ht="15.75" thickBot="1">
      <c r="A338" s="63" t="s">
        <v>23</v>
      </c>
      <c r="B338" s="64" t="s">
        <v>144</v>
      </c>
      <c r="C338" s="65">
        <v>1000</v>
      </c>
      <c r="D338" s="65">
        <v>9.532</v>
      </c>
      <c r="E338" s="8">
        <f t="shared" si="29"/>
        <v>104.90977759127151</v>
      </c>
      <c r="F338" s="83">
        <f>MF_4!C226</f>
        <v>104.91</v>
      </c>
    </row>
    <row r="339" spans="1:6" ht="15.75" thickBot="1">
      <c r="A339" s="63" t="s">
        <v>21</v>
      </c>
      <c r="B339" s="64" t="s">
        <v>143</v>
      </c>
      <c r="C339" s="65">
        <v>1000</v>
      </c>
      <c r="D339" s="65">
        <v>17.164000000000001</v>
      </c>
      <c r="E339" s="8">
        <f t="shared" si="29"/>
        <v>58.261477511069678</v>
      </c>
      <c r="F339" s="83">
        <f>MF_4!E226</f>
        <v>58.26</v>
      </c>
    </row>
    <row r="340" spans="1:6" ht="15.75" thickBot="1">
      <c r="A340" s="63" t="s">
        <v>13</v>
      </c>
      <c r="B340" s="64" t="s">
        <v>138</v>
      </c>
      <c r="C340" s="65">
        <v>1000</v>
      </c>
      <c r="D340" s="65">
        <v>5.6070000000000002</v>
      </c>
      <c r="E340" s="8">
        <f t="shared" si="29"/>
        <v>178.34849295523452</v>
      </c>
      <c r="F340" s="83">
        <f>MF_4!G226</f>
        <v>178.32509999999999</v>
      </c>
    </row>
    <row r="341" spans="1:6" ht="15.75" thickBot="1">
      <c r="A341" s="63" t="s">
        <v>15</v>
      </c>
      <c r="B341" s="64" t="s">
        <v>139</v>
      </c>
      <c r="C341" s="65">
        <v>1000</v>
      </c>
      <c r="D341" s="65">
        <v>11.138</v>
      </c>
      <c r="E341" s="8">
        <f t="shared" si="29"/>
        <v>89.782725803555394</v>
      </c>
      <c r="F341" s="83">
        <f>MF_4!I226</f>
        <v>89.775499999999994</v>
      </c>
    </row>
    <row r="342" spans="1:6" ht="15.75" thickBot="1">
      <c r="A342" s="63" t="s">
        <v>17</v>
      </c>
      <c r="B342" s="64" t="s">
        <v>140</v>
      </c>
      <c r="C342" s="65">
        <v>1000</v>
      </c>
      <c r="D342" s="65">
        <v>11.355</v>
      </c>
      <c r="E342" s="8">
        <f t="shared" si="29"/>
        <v>88.066930867459263</v>
      </c>
      <c r="F342" s="83">
        <f>MF_4!K226</f>
        <v>88.06</v>
      </c>
    </row>
    <row r="343" spans="1:6" ht="15.75" thickBot="1">
      <c r="A343" s="63" t="s">
        <v>19</v>
      </c>
      <c r="B343" s="64" t="s">
        <v>141</v>
      </c>
      <c r="C343" s="65">
        <v>1000</v>
      </c>
      <c r="D343" s="65">
        <v>9.4760000000000009</v>
      </c>
      <c r="E343" s="8">
        <f t="shared" si="29"/>
        <v>105.52975939214858</v>
      </c>
      <c r="F343" s="83">
        <f>MF_4!M226</f>
        <v>105.52</v>
      </c>
    </row>
    <row r="344" spans="1:6" ht="15.75" thickBot="1">
      <c r="A344" s="63" t="s">
        <v>37</v>
      </c>
      <c r="B344" s="64" t="s">
        <v>38</v>
      </c>
      <c r="C344" s="65">
        <v>1000</v>
      </c>
      <c r="D344" s="65">
        <v>5.6840000000000002</v>
      </c>
      <c r="E344" s="8">
        <f t="shared" si="29"/>
        <v>175.93244194229416</v>
      </c>
      <c r="F344" s="83">
        <f>MF_4!Q226</f>
        <v>175.9357</v>
      </c>
    </row>
    <row r="345" spans="1:6" ht="15.75" thickBot="1">
      <c r="A345" s="63" t="s">
        <v>40</v>
      </c>
      <c r="B345" s="64" t="s">
        <v>146</v>
      </c>
      <c r="C345" s="65">
        <v>1000</v>
      </c>
      <c r="D345" s="65">
        <v>11.497</v>
      </c>
      <c r="E345" s="8">
        <f t="shared" si="29"/>
        <v>86.97921196833957</v>
      </c>
      <c r="F345" s="83">
        <f>MF_4!S226</f>
        <v>86.972499999999997</v>
      </c>
    </row>
    <row r="346" spans="1:6" ht="15.75" thickBot="1">
      <c r="A346" s="63" t="s">
        <v>41</v>
      </c>
      <c r="B346" s="64" t="s">
        <v>137</v>
      </c>
      <c r="C346" s="65">
        <v>1000</v>
      </c>
      <c r="D346" s="65">
        <v>5.6310000000000002</v>
      </c>
      <c r="E346" s="8">
        <f t="shared" si="29"/>
        <v>177.5883502042266</v>
      </c>
      <c r="F346" s="83">
        <f>MF_4!U226</f>
        <v>177.57830000000001</v>
      </c>
    </row>
    <row r="347" spans="1:6" ht="15.75" thickBot="1">
      <c r="A347" s="63" t="s">
        <v>42</v>
      </c>
      <c r="B347" s="64" t="s">
        <v>142</v>
      </c>
      <c r="C347" s="65">
        <v>2000</v>
      </c>
      <c r="D347" s="65">
        <v>7.4370000000000003</v>
      </c>
      <c r="E347" s="8">
        <f t="shared" si="29"/>
        <v>268.92564205997041</v>
      </c>
      <c r="F347" s="83">
        <f>MF_4!W226</f>
        <v>268.91500000000002</v>
      </c>
    </row>
    <row r="349" spans="1:6" ht="15.75" thickBot="1"/>
    <row r="350" spans="1:6" ht="30.75" thickBot="1">
      <c r="A350" s="61" t="s">
        <v>30</v>
      </c>
      <c r="B350" s="62" t="s">
        <v>6</v>
      </c>
      <c r="C350" s="62" t="s">
        <v>7</v>
      </c>
      <c r="D350" s="62" t="s">
        <v>8</v>
      </c>
      <c r="E350" s="81" t="s">
        <v>9</v>
      </c>
      <c r="F350" s="61" t="s">
        <v>134</v>
      </c>
    </row>
    <row r="351" spans="1:6" ht="15.75" thickBot="1">
      <c r="A351" s="63" t="s">
        <v>85</v>
      </c>
      <c r="B351" s="64" t="s">
        <v>136</v>
      </c>
      <c r="C351" s="65">
        <v>1000</v>
      </c>
      <c r="D351" s="65">
        <v>19.614999999999998</v>
      </c>
      <c r="E351" s="8">
        <f t="shared" ref="E351:E370" si="30">C351/D351</f>
        <v>50.981391791995925</v>
      </c>
      <c r="F351" s="83"/>
    </row>
    <row r="352" spans="1:6" ht="15.75" thickBot="1">
      <c r="A352" s="63" t="s">
        <v>87</v>
      </c>
      <c r="B352" s="64" t="s">
        <v>153</v>
      </c>
      <c r="C352" s="65">
        <v>1000</v>
      </c>
      <c r="D352" s="65">
        <v>11.917</v>
      </c>
      <c r="E352" s="8">
        <f t="shared" si="30"/>
        <v>83.913736678694306</v>
      </c>
      <c r="F352" s="83"/>
    </row>
    <row r="353" spans="1:6" ht="15.75" thickBot="1">
      <c r="A353" s="63" t="s">
        <v>89</v>
      </c>
      <c r="B353" s="64" t="s">
        <v>151</v>
      </c>
      <c r="C353" s="65">
        <v>1000</v>
      </c>
      <c r="D353" s="65">
        <v>60.274000000000001</v>
      </c>
      <c r="E353" s="8">
        <f t="shared" si="30"/>
        <v>16.590901549590203</v>
      </c>
      <c r="F353" s="83"/>
    </row>
    <row r="354" spans="1:6" ht="15.75" thickBot="1">
      <c r="A354" s="63" t="s">
        <v>91</v>
      </c>
      <c r="B354" s="64" t="s">
        <v>152</v>
      </c>
      <c r="C354" s="65">
        <v>1000</v>
      </c>
      <c r="D354" s="65">
        <v>21.6</v>
      </c>
      <c r="E354" s="8">
        <f t="shared" si="30"/>
        <v>46.296296296296291</v>
      </c>
      <c r="F354" s="83"/>
    </row>
    <row r="355" spans="1:6" ht="15.75" thickBot="1">
      <c r="A355" s="63" t="s">
        <v>93</v>
      </c>
      <c r="B355" s="64" t="s">
        <v>94</v>
      </c>
      <c r="C355" s="65">
        <v>1000</v>
      </c>
      <c r="D355" s="65">
        <v>36.648000000000003</v>
      </c>
      <c r="E355" s="8">
        <f t="shared" si="30"/>
        <v>27.286618642217853</v>
      </c>
      <c r="F355" s="83"/>
    </row>
    <row r="356" spans="1:6" ht="15.75" thickBot="1">
      <c r="A356" s="63" t="s">
        <v>95</v>
      </c>
      <c r="B356" s="64" t="s">
        <v>150</v>
      </c>
      <c r="C356" s="65">
        <v>1000</v>
      </c>
      <c r="D356" s="65">
        <v>23.004000000000001</v>
      </c>
      <c r="E356" s="8">
        <f t="shared" si="30"/>
        <v>43.47070074769605</v>
      </c>
      <c r="F356" s="83"/>
    </row>
    <row r="357" spans="1:6" ht="15.75" thickBot="1">
      <c r="A357" s="63" t="s">
        <v>11</v>
      </c>
      <c r="B357" s="64" t="s">
        <v>145</v>
      </c>
      <c r="C357" s="65">
        <v>1000</v>
      </c>
      <c r="D357" s="65">
        <v>8.9369999999999994</v>
      </c>
      <c r="E357" s="8">
        <f t="shared" si="30"/>
        <v>111.89437171310284</v>
      </c>
      <c r="F357" s="83"/>
    </row>
    <row r="358" spans="1:6" ht="15.75" thickBot="1">
      <c r="A358" s="63" t="s">
        <v>97</v>
      </c>
      <c r="B358" s="64" t="s">
        <v>148</v>
      </c>
      <c r="C358" s="65">
        <v>1000</v>
      </c>
      <c r="D358" s="65">
        <v>13.007999999999999</v>
      </c>
      <c r="E358" s="8">
        <f t="shared" si="30"/>
        <v>76.875768757687581</v>
      </c>
      <c r="F358" s="83"/>
    </row>
    <row r="359" spans="1:6" ht="15.75" thickBot="1">
      <c r="A359" s="63" t="s">
        <v>99</v>
      </c>
      <c r="B359" s="64" t="s">
        <v>149</v>
      </c>
      <c r="C359" s="65">
        <v>1000</v>
      </c>
      <c r="D359" s="65">
        <v>20.63</v>
      </c>
      <c r="E359" s="8">
        <f t="shared" si="30"/>
        <v>48.47309743092584</v>
      </c>
      <c r="F359" s="83"/>
    </row>
    <row r="360" spans="1:6" ht="15.75" thickBot="1">
      <c r="A360" s="63" t="s">
        <v>147</v>
      </c>
      <c r="B360" s="64" t="s">
        <v>154</v>
      </c>
      <c r="C360" s="65">
        <v>2000</v>
      </c>
      <c r="D360" s="65">
        <v>13.771000000000001</v>
      </c>
      <c r="E360" s="8">
        <f t="shared" si="30"/>
        <v>145.23273545857236</v>
      </c>
      <c r="F360" s="83"/>
    </row>
    <row r="361" spans="1:6" ht="15.75" thickBot="1">
      <c r="A361" s="63" t="s">
        <v>23</v>
      </c>
      <c r="B361" s="64" t="s">
        <v>144</v>
      </c>
      <c r="C361" s="65">
        <v>1000</v>
      </c>
      <c r="D361" s="65">
        <v>9.1159999999999997</v>
      </c>
      <c r="E361" s="8">
        <f t="shared" si="30"/>
        <v>109.69723562966213</v>
      </c>
      <c r="F361" s="83"/>
    </row>
    <row r="362" spans="1:6" ht="15.75" thickBot="1">
      <c r="A362" s="63" t="s">
        <v>21</v>
      </c>
      <c r="B362" s="64" t="s">
        <v>143</v>
      </c>
      <c r="C362" s="65">
        <v>1000</v>
      </c>
      <c r="D362" s="65">
        <v>16.63</v>
      </c>
      <c r="E362" s="8">
        <f t="shared" si="30"/>
        <v>60.132291040288642</v>
      </c>
      <c r="F362" s="83"/>
    </row>
    <row r="363" spans="1:6" ht="15.75" thickBot="1">
      <c r="A363" s="63" t="s">
        <v>13</v>
      </c>
      <c r="B363" s="64" t="s">
        <v>138</v>
      </c>
      <c r="C363" s="65">
        <v>1000</v>
      </c>
      <c r="D363" s="65">
        <v>5.444</v>
      </c>
      <c r="E363" s="8">
        <f t="shared" si="30"/>
        <v>183.68846436443792</v>
      </c>
      <c r="F363" s="83"/>
    </row>
    <row r="364" spans="1:6" ht="15.75" thickBot="1">
      <c r="A364" s="63" t="s">
        <v>15</v>
      </c>
      <c r="B364" s="64" t="s">
        <v>139</v>
      </c>
      <c r="C364" s="65">
        <v>1000</v>
      </c>
      <c r="D364" s="65">
        <v>10.994999999999999</v>
      </c>
      <c r="E364" s="8">
        <f t="shared" si="30"/>
        <v>90.950432014552078</v>
      </c>
      <c r="F364" s="83"/>
    </row>
    <row r="365" spans="1:6" ht="15.75" thickBot="1">
      <c r="A365" s="63" t="s">
        <v>17</v>
      </c>
      <c r="B365" s="64" t="s">
        <v>140</v>
      </c>
      <c r="C365" s="65">
        <v>1000</v>
      </c>
      <c r="D365" s="65">
        <v>11.144</v>
      </c>
      <c r="E365" s="8">
        <f t="shared" si="30"/>
        <v>89.734386216798271</v>
      </c>
      <c r="F365" s="83"/>
    </row>
    <row r="366" spans="1:6" ht="15.75" thickBot="1">
      <c r="A366" s="63" t="s">
        <v>19</v>
      </c>
      <c r="B366" s="64" t="s">
        <v>141</v>
      </c>
      <c r="C366" s="65">
        <v>1000</v>
      </c>
      <c r="D366" s="65">
        <v>9.2590000000000003</v>
      </c>
      <c r="E366" s="8">
        <f t="shared" si="30"/>
        <v>108.00302408467437</v>
      </c>
      <c r="F366" s="83"/>
    </row>
    <row r="367" spans="1:6" ht="15.75" thickBot="1">
      <c r="A367" s="63" t="s">
        <v>37</v>
      </c>
      <c r="B367" s="64" t="s">
        <v>38</v>
      </c>
      <c r="C367" s="65">
        <v>1000</v>
      </c>
      <c r="D367" s="65">
        <v>5.51</v>
      </c>
      <c r="E367" s="8">
        <f t="shared" si="30"/>
        <v>181.48820326678768</v>
      </c>
      <c r="F367" s="83"/>
    </row>
    <row r="368" spans="1:6" ht="15.75" thickBot="1">
      <c r="A368" s="63" t="s">
        <v>40</v>
      </c>
      <c r="B368" s="64" t="s">
        <v>146</v>
      </c>
      <c r="C368" s="65">
        <v>1000</v>
      </c>
      <c r="D368" s="65">
        <v>11.151</v>
      </c>
      <c r="E368" s="8">
        <f t="shared" si="30"/>
        <v>89.678055779750693</v>
      </c>
      <c r="F368" s="83"/>
    </row>
    <row r="369" spans="1:6" ht="15.75" thickBot="1">
      <c r="A369" s="63" t="s">
        <v>41</v>
      </c>
      <c r="B369" s="64" t="s">
        <v>137</v>
      </c>
      <c r="C369" s="65">
        <v>1000</v>
      </c>
      <c r="D369" s="65">
        <v>5.41</v>
      </c>
      <c r="E369" s="8">
        <f t="shared" si="30"/>
        <v>184.84288354898337</v>
      </c>
      <c r="F369" s="83"/>
    </row>
    <row r="370" spans="1:6" ht="15.75" thickBot="1">
      <c r="A370" s="63" t="s">
        <v>42</v>
      </c>
      <c r="B370" s="64" t="s">
        <v>142</v>
      </c>
      <c r="C370" s="65">
        <v>2000</v>
      </c>
      <c r="D370" s="65">
        <v>7.31</v>
      </c>
      <c r="E370" s="8">
        <f t="shared" si="30"/>
        <v>273.5978112175103</v>
      </c>
      <c r="F370" s="83"/>
    </row>
    <row r="372" spans="1:6" ht="15.75" thickBot="1"/>
    <row r="373" spans="1:6" ht="30.75" thickBot="1">
      <c r="A373" s="61" t="s">
        <v>168</v>
      </c>
      <c r="B373" s="62" t="s">
        <v>6</v>
      </c>
      <c r="C373" s="62" t="s">
        <v>7</v>
      </c>
      <c r="D373" s="62" t="s">
        <v>8</v>
      </c>
      <c r="E373" s="81" t="s">
        <v>9</v>
      </c>
      <c r="F373" s="61" t="s">
        <v>134</v>
      </c>
    </row>
    <row r="374" spans="1:6" ht="15.75" thickBot="1">
      <c r="A374" s="63" t="s">
        <v>85</v>
      </c>
      <c r="B374" s="64" t="s">
        <v>136</v>
      </c>
      <c r="C374" s="65">
        <v>1000</v>
      </c>
      <c r="D374" s="65">
        <v>20.584</v>
      </c>
      <c r="E374" s="8">
        <f t="shared" ref="E374:E393" si="31">C374/D374</f>
        <v>48.581422464049751</v>
      </c>
      <c r="F374" s="83"/>
    </row>
    <row r="375" spans="1:6" ht="15.75" thickBot="1">
      <c r="A375" s="63" t="s">
        <v>87</v>
      </c>
      <c r="B375" s="64" t="s">
        <v>153</v>
      </c>
      <c r="C375" s="65">
        <v>1000</v>
      </c>
      <c r="D375" s="65">
        <v>12.35</v>
      </c>
      <c r="E375" s="8">
        <f t="shared" si="31"/>
        <v>80.97165991902834</v>
      </c>
      <c r="F375" s="83"/>
    </row>
    <row r="376" spans="1:6" ht="15.75" thickBot="1">
      <c r="A376" s="63" t="s">
        <v>89</v>
      </c>
      <c r="B376" s="64" t="s">
        <v>151</v>
      </c>
      <c r="C376" s="65">
        <v>1000</v>
      </c>
      <c r="D376" s="65">
        <v>64.099000000000004</v>
      </c>
      <c r="E376" s="8">
        <f t="shared" si="31"/>
        <v>15.600867408227897</v>
      </c>
      <c r="F376" s="83"/>
    </row>
    <row r="377" spans="1:6" ht="15.75" thickBot="1">
      <c r="A377" s="63" t="s">
        <v>91</v>
      </c>
      <c r="B377" s="64" t="s">
        <v>152</v>
      </c>
      <c r="C377" s="65">
        <v>1000</v>
      </c>
      <c r="D377" s="65">
        <v>22.454999999999998</v>
      </c>
      <c r="E377" s="8">
        <f t="shared" si="31"/>
        <v>44.533511467379206</v>
      </c>
      <c r="F377" s="83"/>
    </row>
    <row r="378" spans="1:6" ht="15.75" thickBot="1">
      <c r="A378" s="63" t="s">
        <v>93</v>
      </c>
      <c r="B378" s="64" t="s">
        <v>94</v>
      </c>
      <c r="C378" s="65">
        <v>1000</v>
      </c>
      <c r="D378" s="65">
        <v>37.718000000000004</v>
      </c>
      <c r="E378" s="8">
        <f t="shared" si="31"/>
        <v>26.512540431624156</v>
      </c>
      <c r="F378" s="83"/>
    </row>
    <row r="379" spans="1:6" ht="15.75" thickBot="1">
      <c r="A379" s="63" t="s">
        <v>95</v>
      </c>
      <c r="B379" s="64" t="s">
        <v>150</v>
      </c>
      <c r="C379" s="65">
        <v>1000</v>
      </c>
      <c r="D379" s="65">
        <v>24.35</v>
      </c>
      <c r="E379" s="8">
        <f t="shared" si="31"/>
        <v>41.067761806981515</v>
      </c>
      <c r="F379" s="83"/>
    </row>
    <row r="380" spans="1:6" ht="15.75" thickBot="1">
      <c r="A380" s="63" t="s">
        <v>11</v>
      </c>
      <c r="B380" s="64" t="s">
        <v>145</v>
      </c>
      <c r="C380" s="65">
        <v>1000</v>
      </c>
      <c r="D380" s="65">
        <v>9.3930000000000007</v>
      </c>
      <c r="E380" s="8">
        <f t="shared" si="31"/>
        <v>106.46225912913872</v>
      </c>
      <c r="F380" s="83"/>
    </row>
    <row r="381" spans="1:6" ht="15.75" thickBot="1">
      <c r="A381" s="63" t="s">
        <v>97</v>
      </c>
      <c r="B381" s="64" t="s">
        <v>148</v>
      </c>
      <c r="C381" s="65">
        <v>1000</v>
      </c>
      <c r="D381" s="65">
        <v>13.519</v>
      </c>
      <c r="E381" s="8">
        <f t="shared" si="31"/>
        <v>73.969968192913683</v>
      </c>
      <c r="F381" s="83"/>
    </row>
    <row r="382" spans="1:6" ht="15.75" thickBot="1">
      <c r="A382" s="63" t="s">
        <v>99</v>
      </c>
      <c r="B382" s="64" t="s">
        <v>149</v>
      </c>
      <c r="C382" s="65">
        <v>1000</v>
      </c>
      <c r="D382" s="65">
        <v>21.661999999999999</v>
      </c>
      <c r="E382" s="8">
        <f t="shared" si="31"/>
        <v>46.163789123811284</v>
      </c>
      <c r="F382" s="83"/>
    </row>
    <row r="383" spans="1:6" ht="15.75" thickBot="1">
      <c r="A383" s="63" t="s">
        <v>147</v>
      </c>
      <c r="B383" s="64" t="s">
        <v>154</v>
      </c>
      <c r="C383" s="65">
        <v>2000</v>
      </c>
      <c r="D383" s="65">
        <v>14.487</v>
      </c>
      <c r="E383" s="8">
        <f t="shared" si="31"/>
        <v>138.0548077586802</v>
      </c>
      <c r="F383" s="83"/>
    </row>
    <row r="384" spans="1:6" ht="15.75" thickBot="1">
      <c r="A384" s="63" t="s">
        <v>23</v>
      </c>
      <c r="B384" s="64" t="s">
        <v>144</v>
      </c>
      <c r="C384" s="65">
        <v>1000</v>
      </c>
      <c r="D384" s="65">
        <v>9.4339999999999993</v>
      </c>
      <c r="E384" s="8">
        <f t="shared" si="31"/>
        <v>105.999576001696</v>
      </c>
      <c r="F384" s="83"/>
    </row>
    <row r="385" spans="1:6" ht="15.75" thickBot="1">
      <c r="A385" s="63" t="s">
        <v>21</v>
      </c>
      <c r="B385" s="64" t="s">
        <v>143</v>
      </c>
      <c r="C385" s="65">
        <v>1000</v>
      </c>
      <c r="D385" s="65">
        <v>17.273</v>
      </c>
      <c r="E385" s="8">
        <f t="shared" si="31"/>
        <v>57.893822729114802</v>
      </c>
      <c r="F385" s="83"/>
    </row>
    <row r="386" spans="1:6" ht="15.75" thickBot="1">
      <c r="A386" s="63" t="s">
        <v>13</v>
      </c>
      <c r="B386" s="64" t="s">
        <v>138</v>
      </c>
      <c r="C386" s="65">
        <v>1000</v>
      </c>
      <c r="D386" s="65">
        <v>5.7220000000000004</v>
      </c>
      <c r="E386" s="8">
        <f t="shared" si="31"/>
        <v>174.76406850751485</v>
      </c>
      <c r="F386" s="83"/>
    </row>
    <row r="387" spans="1:6" ht="15.75" thickBot="1">
      <c r="A387" s="63" t="s">
        <v>15</v>
      </c>
      <c r="B387" s="64" t="s">
        <v>139</v>
      </c>
      <c r="C387" s="65">
        <v>1000</v>
      </c>
      <c r="D387" s="65">
        <v>11.396000000000001</v>
      </c>
      <c r="E387" s="8">
        <f t="shared" si="31"/>
        <v>87.750087750087744</v>
      </c>
      <c r="F387" s="83"/>
    </row>
    <row r="388" spans="1:6" ht="15.75" thickBot="1">
      <c r="A388" s="63" t="s">
        <v>17</v>
      </c>
      <c r="B388" s="64" t="s">
        <v>140</v>
      </c>
      <c r="C388" s="65">
        <v>1000</v>
      </c>
      <c r="D388" s="65">
        <v>11.759</v>
      </c>
      <c r="E388" s="8">
        <f t="shared" si="31"/>
        <v>85.041245003826859</v>
      </c>
      <c r="F388" s="83"/>
    </row>
    <row r="389" spans="1:6" ht="15.75" thickBot="1">
      <c r="A389" s="63" t="s">
        <v>19</v>
      </c>
      <c r="B389" s="64" t="s">
        <v>141</v>
      </c>
      <c r="C389" s="65">
        <v>1000</v>
      </c>
      <c r="D389" s="65">
        <v>9.6419999999999995</v>
      </c>
      <c r="E389" s="8">
        <f t="shared" si="31"/>
        <v>103.71292263015972</v>
      </c>
      <c r="F389" s="83"/>
    </row>
    <row r="390" spans="1:6" ht="15.75" thickBot="1">
      <c r="A390" s="63" t="s">
        <v>37</v>
      </c>
      <c r="B390" s="64" t="s">
        <v>38</v>
      </c>
      <c r="C390" s="65">
        <v>1000</v>
      </c>
      <c r="D390" s="65">
        <v>5.82</v>
      </c>
      <c r="E390" s="8">
        <f t="shared" si="31"/>
        <v>171.82130584192439</v>
      </c>
      <c r="F390" s="83"/>
    </row>
    <row r="391" spans="1:6" ht="15.75" thickBot="1">
      <c r="A391" s="63" t="s">
        <v>40</v>
      </c>
      <c r="B391" s="64" t="s">
        <v>146</v>
      </c>
      <c r="C391" s="65">
        <v>1000</v>
      </c>
      <c r="D391" s="65">
        <v>11.638999999999999</v>
      </c>
      <c r="E391" s="8">
        <f t="shared" si="31"/>
        <v>85.918034195377615</v>
      </c>
      <c r="F391" s="83"/>
    </row>
    <row r="392" spans="1:6" ht="15.75" thickBot="1">
      <c r="A392" s="63" t="s">
        <v>41</v>
      </c>
      <c r="B392" s="64" t="s">
        <v>137</v>
      </c>
      <c r="C392" s="65">
        <v>1000</v>
      </c>
      <c r="D392" s="65">
        <v>5.6849999999999996</v>
      </c>
      <c r="E392" s="8">
        <f t="shared" si="31"/>
        <v>175.9014951627089</v>
      </c>
      <c r="F392" s="83"/>
    </row>
    <row r="393" spans="1:6" ht="15.75" thickBot="1">
      <c r="A393" s="63" t="s">
        <v>42</v>
      </c>
      <c r="B393" s="64" t="s">
        <v>142</v>
      </c>
      <c r="C393" s="65">
        <v>2000</v>
      </c>
      <c r="D393" s="65">
        <v>7.6669999999999998</v>
      </c>
      <c r="E393" s="8">
        <f t="shared" si="31"/>
        <v>260.8582235554976</v>
      </c>
      <c r="F393" s="83"/>
    </row>
    <row r="395" spans="1:6" ht="15.75" thickBot="1"/>
    <row r="396" spans="1:6" ht="30.75" thickBot="1">
      <c r="A396" s="61" t="s">
        <v>169</v>
      </c>
      <c r="B396" s="62" t="s">
        <v>6</v>
      </c>
      <c r="C396" s="62" t="s">
        <v>7</v>
      </c>
      <c r="D396" s="62" t="s">
        <v>8</v>
      </c>
      <c r="E396" s="81" t="s">
        <v>9</v>
      </c>
      <c r="F396" s="61" t="s">
        <v>134</v>
      </c>
    </row>
    <row r="397" spans="1:6" ht="15.75" thickBot="1">
      <c r="A397" s="63" t="s">
        <v>85</v>
      </c>
      <c r="B397" s="64" t="s">
        <v>136</v>
      </c>
      <c r="C397" s="65">
        <v>1000</v>
      </c>
      <c r="D397" s="65">
        <v>22.271000000000001</v>
      </c>
      <c r="E397" s="8">
        <f t="shared" ref="E397:E416" si="32">C397/D397</f>
        <v>44.901441336266892</v>
      </c>
      <c r="F397" s="83"/>
    </row>
    <row r="398" spans="1:6" ht="15.75" thickBot="1">
      <c r="A398" s="63" t="s">
        <v>87</v>
      </c>
      <c r="B398" s="64" t="s">
        <v>153</v>
      </c>
      <c r="C398" s="65">
        <v>1000</v>
      </c>
      <c r="D398" s="65">
        <v>12.567</v>
      </c>
      <c r="E398" s="8">
        <f t="shared" si="32"/>
        <v>79.573486114426672</v>
      </c>
      <c r="F398" s="83"/>
    </row>
    <row r="399" spans="1:6" ht="15.75" thickBot="1">
      <c r="A399" s="63" t="s">
        <v>89</v>
      </c>
      <c r="B399" s="64" t="s">
        <v>151</v>
      </c>
      <c r="C399" s="65">
        <v>1000</v>
      </c>
      <c r="D399" s="65">
        <v>67.382000000000005</v>
      </c>
      <c r="E399" s="8">
        <f t="shared" si="32"/>
        <v>14.840758659582677</v>
      </c>
      <c r="F399" s="83"/>
    </row>
    <row r="400" spans="1:6" ht="15.75" thickBot="1">
      <c r="A400" s="63" t="s">
        <v>91</v>
      </c>
      <c r="B400" s="64" t="s">
        <v>152</v>
      </c>
      <c r="C400" s="65">
        <v>1000</v>
      </c>
      <c r="D400" s="65">
        <v>23.856999999999999</v>
      </c>
      <c r="E400" s="8">
        <f t="shared" si="32"/>
        <v>41.916418661189589</v>
      </c>
      <c r="F400" s="83"/>
    </row>
    <row r="401" spans="1:6" ht="15.75" thickBot="1">
      <c r="A401" s="63" t="s">
        <v>93</v>
      </c>
      <c r="B401" s="64" t="s">
        <v>94</v>
      </c>
      <c r="C401" s="65">
        <v>1000</v>
      </c>
      <c r="D401" s="65">
        <v>39.917999999999999</v>
      </c>
      <c r="E401" s="8">
        <f t="shared" si="32"/>
        <v>25.051355278320557</v>
      </c>
      <c r="F401" s="83"/>
    </row>
    <row r="402" spans="1:6" ht="15.75" thickBot="1">
      <c r="A402" s="63" t="s">
        <v>95</v>
      </c>
      <c r="B402" s="64" t="s">
        <v>150</v>
      </c>
      <c r="C402" s="65">
        <v>1000</v>
      </c>
      <c r="D402" s="65">
        <v>26.251999999999999</v>
      </c>
      <c r="E402" s="8">
        <f t="shared" si="32"/>
        <v>38.092335822032609</v>
      </c>
      <c r="F402" s="83"/>
    </row>
    <row r="403" spans="1:6" ht="15.75" thickBot="1">
      <c r="A403" s="63" t="s">
        <v>11</v>
      </c>
      <c r="B403" s="64" t="s">
        <v>145</v>
      </c>
      <c r="C403" s="65">
        <v>1000</v>
      </c>
      <c r="D403" s="65">
        <v>9.4819999999999993</v>
      </c>
      <c r="E403" s="8">
        <f t="shared" si="32"/>
        <v>105.46298249314492</v>
      </c>
      <c r="F403" s="83"/>
    </row>
    <row r="404" spans="1:6" ht="15.75" thickBot="1">
      <c r="A404" s="63" t="s">
        <v>97</v>
      </c>
      <c r="B404" s="64" t="s">
        <v>148</v>
      </c>
      <c r="C404" s="65">
        <v>1000</v>
      </c>
      <c r="D404" s="65">
        <v>13.914999999999999</v>
      </c>
      <c r="E404" s="8">
        <f t="shared" si="32"/>
        <v>71.86489399928135</v>
      </c>
      <c r="F404" s="83"/>
    </row>
    <row r="405" spans="1:6" ht="15.75" thickBot="1">
      <c r="A405" s="63" t="s">
        <v>99</v>
      </c>
      <c r="B405" s="64" t="s">
        <v>149</v>
      </c>
      <c r="C405" s="65">
        <v>1000</v>
      </c>
      <c r="D405" s="65">
        <v>23.013000000000002</v>
      </c>
      <c r="E405" s="8">
        <f t="shared" si="32"/>
        <v>43.45370008256203</v>
      </c>
      <c r="F405" s="83"/>
    </row>
    <row r="406" spans="1:6" ht="15.75" thickBot="1">
      <c r="A406" s="63" t="s">
        <v>147</v>
      </c>
      <c r="B406" s="64" t="s">
        <v>154</v>
      </c>
      <c r="C406" s="65">
        <v>2000</v>
      </c>
      <c r="D406" s="65">
        <v>15.879</v>
      </c>
      <c r="E406" s="8">
        <f t="shared" si="32"/>
        <v>125.95251590150514</v>
      </c>
      <c r="F406" s="83"/>
    </row>
    <row r="407" spans="1:6" ht="15.75" thickBot="1">
      <c r="A407" s="63" t="s">
        <v>23</v>
      </c>
      <c r="B407" s="64" t="s">
        <v>144</v>
      </c>
      <c r="C407" s="65">
        <v>1000</v>
      </c>
      <c r="D407" s="65">
        <v>10.199999999999999</v>
      </c>
      <c r="E407" s="8">
        <f t="shared" si="32"/>
        <v>98.039215686274517</v>
      </c>
      <c r="F407" s="83"/>
    </row>
    <row r="408" spans="1:6" ht="15.75" thickBot="1">
      <c r="A408" s="63" t="s">
        <v>21</v>
      </c>
      <c r="B408" s="64" t="s">
        <v>143</v>
      </c>
      <c r="C408" s="65">
        <v>1000</v>
      </c>
      <c r="D408" s="65">
        <v>17.503</v>
      </c>
      <c r="E408" s="8">
        <f t="shared" si="32"/>
        <v>57.133062903502257</v>
      </c>
      <c r="F408" s="83"/>
    </row>
    <row r="409" spans="1:6" ht="15.75" thickBot="1">
      <c r="A409" s="63" t="s">
        <v>13</v>
      </c>
      <c r="B409" s="64" t="s">
        <v>138</v>
      </c>
      <c r="C409" s="65">
        <v>1000</v>
      </c>
      <c r="D409" s="65">
        <v>6.2130000000000001</v>
      </c>
      <c r="E409" s="8">
        <f t="shared" si="32"/>
        <v>160.95284081764044</v>
      </c>
      <c r="F409" s="83"/>
    </row>
    <row r="410" spans="1:6" ht="15.75" thickBot="1">
      <c r="A410" s="63" t="s">
        <v>15</v>
      </c>
      <c r="B410" s="64" t="s">
        <v>139</v>
      </c>
      <c r="C410" s="65">
        <v>1000</v>
      </c>
      <c r="D410" s="65">
        <v>11.627000000000001</v>
      </c>
      <c r="E410" s="8">
        <f t="shared" si="32"/>
        <v>86.006708523264805</v>
      </c>
      <c r="F410" s="83"/>
    </row>
    <row r="411" spans="1:6" ht="15.75" thickBot="1">
      <c r="A411" s="63" t="s">
        <v>17</v>
      </c>
      <c r="B411" s="64" t="s">
        <v>140</v>
      </c>
      <c r="C411" s="65">
        <v>1000</v>
      </c>
      <c r="D411" s="65">
        <v>12.436999999999999</v>
      </c>
      <c r="E411" s="8">
        <f t="shared" si="32"/>
        <v>80.405242421805909</v>
      </c>
      <c r="F411" s="83"/>
    </row>
    <row r="412" spans="1:6" ht="15.75" thickBot="1">
      <c r="A412" s="63" t="s">
        <v>19</v>
      </c>
      <c r="B412" s="64" t="s">
        <v>141</v>
      </c>
      <c r="C412" s="65">
        <v>1000</v>
      </c>
      <c r="D412" s="65">
        <v>9.8140000000000001</v>
      </c>
      <c r="E412" s="8">
        <f t="shared" si="32"/>
        <v>101.89525168127165</v>
      </c>
      <c r="F412" s="83"/>
    </row>
    <row r="413" spans="1:6" ht="15.75" thickBot="1">
      <c r="A413" s="63" t="s">
        <v>37</v>
      </c>
      <c r="B413" s="64" t="s">
        <v>38</v>
      </c>
      <c r="C413" s="65">
        <v>1000</v>
      </c>
      <c r="D413" s="65">
        <v>6.4470000000000001</v>
      </c>
      <c r="E413" s="8">
        <f t="shared" si="32"/>
        <v>155.11090429657204</v>
      </c>
      <c r="F413" s="83"/>
    </row>
    <row r="414" spans="1:6" ht="15.75" thickBot="1">
      <c r="A414" s="63" t="s">
        <v>40</v>
      </c>
      <c r="B414" s="64" t="s">
        <v>146</v>
      </c>
      <c r="C414" s="65">
        <v>1000</v>
      </c>
      <c r="D414" s="65">
        <v>12.057</v>
      </c>
      <c r="E414" s="8">
        <f t="shared" si="32"/>
        <v>82.939371319565396</v>
      </c>
      <c r="F414" s="83"/>
    </row>
    <row r="415" spans="1:6" ht="15.75" thickBot="1">
      <c r="A415" s="63" t="s">
        <v>41</v>
      </c>
      <c r="B415" s="64" t="s">
        <v>137</v>
      </c>
      <c r="C415" s="65">
        <v>1000</v>
      </c>
      <c r="D415" s="65">
        <v>6.2110000000000003</v>
      </c>
      <c r="E415" s="8">
        <f t="shared" si="32"/>
        <v>161.00466913540492</v>
      </c>
      <c r="F415" s="83"/>
    </row>
    <row r="416" spans="1:6" ht="15.75" thickBot="1">
      <c r="A416" s="63" t="s">
        <v>42</v>
      </c>
      <c r="B416" s="64" t="s">
        <v>142</v>
      </c>
      <c r="C416" s="65">
        <v>2000</v>
      </c>
      <c r="D416" s="65">
        <v>8.4410000000000007</v>
      </c>
      <c r="E416" s="8">
        <f t="shared" si="32"/>
        <v>236.93875133278047</v>
      </c>
      <c r="F416" s="83"/>
    </row>
    <row r="418" spans="1:6" ht="15.75" thickBot="1"/>
    <row r="419" spans="1:6" ht="30.75" thickBot="1">
      <c r="A419" s="61" t="s">
        <v>170</v>
      </c>
      <c r="B419" s="62" t="s">
        <v>6</v>
      </c>
      <c r="C419" s="62" t="s">
        <v>7</v>
      </c>
      <c r="D419" s="62" t="s">
        <v>8</v>
      </c>
      <c r="E419" s="81" t="s">
        <v>9</v>
      </c>
      <c r="F419" s="61" t="s">
        <v>134</v>
      </c>
    </row>
    <row r="420" spans="1:6" ht="15.75" thickBot="1">
      <c r="A420" s="63" t="s">
        <v>85</v>
      </c>
      <c r="B420" s="64" t="s">
        <v>136</v>
      </c>
      <c r="C420" s="65">
        <v>1000</v>
      </c>
      <c r="D420" s="65">
        <v>24.861999999999998</v>
      </c>
      <c r="E420" s="8">
        <f t="shared" ref="E420:E439" si="33">C420/D420</f>
        <v>40.222025581208271</v>
      </c>
      <c r="F420" s="83"/>
    </row>
    <row r="421" spans="1:6" ht="15.75" thickBot="1">
      <c r="A421" s="63" t="s">
        <v>87</v>
      </c>
      <c r="B421" s="64" t="s">
        <v>153</v>
      </c>
      <c r="C421" s="65">
        <v>1000</v>
      </c>
      <c r="D421" s="65">
        <v>13.262</v>
      </c>
      <c r="E421" s="8">
        <f t="shared" si="33"/>
        <v>75.403408234052179</v>
      </c>
      <c r="F421" s="83"/>
    </row>
    <row r="422" spans="1:6" ht="15.75" thickBot="1">
      <c r="A422" s="63" t="s">
        <v>89</v>
      </c>
      <c r="B422" s="64" t="s">
        <v>151</v>
      </c>
      <c r="C422" s="65">
        <v>1000</v>
      </c>
      <c r="D422" s="65">
        <v>71.069999999999993</v>
      </c>
      <c r="E422" s="8">
        <f t="shared" si="33"/>
        <v>14.070634585619812</v>
      </c>
      <c r="F422" s="83"/>
    </row>
    <row r="423" spans="1:6" ht="15.75" thickBot="1">
      <c r="A423" s="63" t="s">
        <v>91</v>
      </c>
      <c r="B423" s="64" t="s">
        <v>152</v>
      </c>
      <c r="C423" s="65">
        <v>1000</v>
      </c>
      <c r="D423" s="65">
        <v>26.562000000000001</v>
      </c>
      <c r="E423" s="8">
        <f t="shared" si="33"/>
        <v>37.647767487387995</v>
      </c>
      <c r="F423" s="83"/>
    </row>
    <row r="424" spans="1:6" ht="15.75" thickBot="1">
      <c r="A424" s="63" t="s">
        <v>93</v>
      </c>
      <c r="B424" s="64" t="s">
        <v>94</v>
      </c>
      <c r="C424" s="65">
        <v>1000</v>
      </c>
      <c r="D424" s="65">
        <v>44.404000000000003</v>
      </c>
      <c r="E424" s="8">
        <f t="shared" si="33"/>
        <v>22.520493649220789</v>
      </c>
      <c r="F424" s="83"/>
    </row>
    <row r="425" spans="1:6" ht="15.75" thickBot="1">
      <c r="A425" s="63" t="s">
        <v>95</v>
      </c>
      <c r="B425" s="64" t="s">
        <v>150</v>
      </c>
      <c r="C425" s="65">
        <v>1000</v>
      </c>
      <c r="D425" s="65">
        <v>28.323</v>
      </c>
      <c r="E425" s="8">
        <f t="shared" si="33"/>
        <v>35.306994315573917</v>
      </c>
      <c r="F425" s="83"/>
    </row>
    <row r="426" spans="1:6" ht="15.75" thickBot="1">
      <c r="A426" s="63" t="s">
        <v>11</v>
      </c>
      <c r="B426" s="64" t="s">
        <v>145</v>
      </c>
      <c r="C426" s="65">
        <v>1000</v>
      </c>
      <c r="D426" s="65">
        <v>9.9239999999999995</v>
      </c>
      <c r="E426" s="8">
        <f t="shared" si="33"/>
        <v>100.76582023377671</v>
      </c>
      <c r="F426" s="83"/>
    </row>
    <row r="427" spans="1:6" ht="15.75" thickBot="1">
      <c r="A427" s="63" t="s">
        <v>97</v>
      </c>
      <c r="B427" s="64" t="s">
        <v>148</v>
      </c>
      <c r="C427" s="65">
        <v>1000</v>
      </c>
      <c r="D427" s="65">
        <v>14.744</v>
      </c>
      <c r="E427" s="8">
        <f t="shared" si="33"/>
        <v>67.824199674443847</v>
      </c>
      <c r="F427" s="83"/>
    </row>
    <row r="428" spans="1:6" ht="15.75" thickBot="1">
      <c r="A428" s="63" t="s">
        <v>99</v>
      </c>
      <c r="B428" s="64" t="s">
        <v>149</v>
      </c>
      <c r="C428" s="65">
        <v>1000</v>
      </c>
      <c r="D428" s="65">
        <v>25.184000000000001</v>
      </c>
      <c r="E428" s="8">
        <f t="shared" si="33"/>
        <v>39.707750952986018</v>
      </c>
      <c r="F428" s="83"/>
    </row>
    <row r="429" spans="1:6" ht="15.75" thickBot="1">
      <c r="A429" s="63" t="s">
        <v>147</v>
      </c>
      <c r="B429" s="64" t="s">
        <v>154</v>
      </c>
      <c r="C429" s="65">
        <v>2000</v>
      </c>
      <c r="D429" s="65">
        <v>17.158999999999999</v>
      </c>
      <c r="E429" s="8">
        <f t="shared" si="33"/>
        <v>116.55690891077569</v>
      </c>
      <c r="F429" s="83"/>
    </row>
    <row r="430" spans="1:6" ht="15.75" thickBot="1">
      <c r="A430" s="63" t="s">
        <v>23</v>
      </c>
      <c r="B430" s="64" t="s">
        <v>144</v>
      </c>
      <c r="C430" s="65">
        <v>1000</v>
      </c>
      <c r="D430" s="65">
        <v>10.923999999999999</v>
      </c>
      <c r="E430" s="8">
        <f t="shared" si="33"/>
        <v>91.541559868180158</v>
      </c>
      <c r="F430" s="83"/>
    </row>
    <row r="431" spans="1:6" ht="15.75" thickBot="1">
      <c r="A431" s="63" t="s">
        <v>21</v>
      </c>
      <c r="B431" s="64" t="s">
        <v>143</v>
      </c>
      <c r="C431" s="65">
        <v>1000</v>
      </c>
      <c r="D431" s="65">
        <v>18.375</v>
      </c>
      <c r="E431" s="8">
        <f t="shared" si="33"/>
        <v>54.42176870748299</v>
      </c>
      <c r="F431" s="83"/>
    </row>
    <row r="432" spans="1:6" ht="15.75" thickBot="1">
      <c r="A432" s="63" t="s">
        <v>13</v>
      </c>
      <c r="B432" s="64" t="s">
        <v>138</v>
      </c>
      <c r="C432" s="65">
        <v>1000</v>
      </c>
      <c r="D432" s="65">
        <v>6.6369999999999996</v>
      </c>
      <c r="E432" s="8">
        <f t="shared" si="33"/>
        <v>150.67048365225253</v>
      </c>
      <c r="F432" s="83"/>
    </row>
    <row r="433" spans="1:6" ht="15.75" thickBot="1">
      <c r="A433" s="63" t="s">
        <v>15</v>
      </c>
      <c r="B433" s="64" t="s">
        <v>139</v>
      </c>
      <c r="C433" s="65">
        <v>1000</v>
      </c>
      <c r="D433" s="65">
        <v>12.141999999999999</v>
      </c>
      <c r="E433" s="8">
        <f t="shared" si="33"/>
        <v>82.358754735628395</v>
      </c>
      <c r="F433" s="83"/>
    </row>
    <row r="434" spans="1:6" ht="15.75" thickBot="1">
      <c r="A434" s="63" t="s">
        <v>17</v>
      </c>
      <c r="B434" s="64" t="s">
        <v>140</v>
      </c>
      <c r="C434" s="65">
        <v>1000</v>
      </c>
      <c r="D434" s="65">
        <v>13.444000000000001</v>
      </c>
      <c r="E434" s="8">
        <f t="shared" si="33"/>
        <v>74.382624218982443</v>
      </c>
      <c r="F434" s="83"/>
    </row>
    <row r="435" spans="1:6" ht="15.75" thickBot="1">
      <c r="A435" s="63" t="s">
        <v>19</v>
      </c>
      <c r="B435" s="64" t="s">
        <v>141</v>
      </c>
      <c r="C435" s="65">
        <v>1000</v>
      </c>
      <c r="D435" s="65">
        <v>10.243</v>
      </c>
      <c r="E435" s="8">
        <f t="shared" si="33"/>
        <v>97.627648149956059</v>
      </c>
      <c r="F435" s="83"/>
    </row>
    <row r="436" spans="1:6" ht="15.75" thickBot="1">
      <c r="A436" s="63" t="s">
        <v>37</v>
      </c>
      <c r="B436" s="64" t="s">
        <v>38</v>
      </c>
      <c r="C436" s="65">
        <v>1000</v>
      </c>
      <c r="D436" s="65">
        <v>6.9480000000000004</v>
      </c>
      <c r="E436" s="8">
        <f t="shared" si="33"/>
        <v>143.92630972941853</v>
      </c>
      <c r="F436" s="83"/>
    </row>
    <row r="437" spans="1:6" ht="15.75" thickBot="1">
      <c r="A437" s="63" t="s">
        <v>40</v>
      </c>
      <c r="B437" s="64" t="s">
        <v>146</v>
      </c>
      <c r="C437" s="65">
        <v>1000</v>
      </c>
      <c r="D437" s="65">
        <v>12.553000000000001</v>
      </c>
      <c r="E437" s="8">
        <f t="shared" si="33"/>
        <v>79.662232135744432</v>
      </c>
      <c r="F437" s="83"/>
    </row>
    <row r="438" spans="1:6" ht="15.75" thickBot="1">
      <c r="A438" s="63" t="s">
        <v>41</v>
      </c>
      <c r="B438" s="64" t="s">
        <v>137</v>
      </c>
      <c r="C438" s="65">
        <v>1000</v>
      </c>
      <c r="D438" s="65">
        <v>6.84</v>
      </c>
      <c r="E438" s="8">
        <f t="shared" si="33"/>
        <v>146.19883040935673</v>
      </c>
      <c r="F438" s="83"/>
    </row>
    <row r="439" spans="1:6" ht="15.75" thickBot="1">
      <c r="A439" s="63" t="s">
        <v>42</v>
      </c>
      <c r="B439" s="64" t="s">
        <v>142</v>
      </c>
      <c r="C439" s="65">
        <v>2000</v>
      </c>
      <c r="D439" s="65">
        <v>9.01</v>
      </c>
      <c r="E439" s="8">
        <f t="shared" si="33"/>
        <v>221.97558268590456</v>
      </c>
      <c r="F439" s="83"/>
    </row>
    <row r="441" spans="1:6" ht="15.75" thickBot="1"/>
    <row r="442" spans="1:6" ht="30.75" thickBot="1">
      <c r="A442" s="61" t="s">
        <v>171</v>
      </c>
      <c r="B442" s="62" t="s">
        <v>6</v>
      </c>
      <c r="C442" s="62" t="s">
        <v>7</v>
      </c>
      <c r="D442" s="62" t="s">
        <v>8</v>
      </c>
      <c r="E442" s="81" t="s">
        <v>9</v>
      </c>
      <c r="F442" s="61" t="s">
        <v>134</v>
      </c>
    </row>
    <row r="443" spans="1:6" ht="15.75" thickBot="1">
      <c r="A443" s="63" t="s">
        <v>85</v>
      </c>
      <c r="B443" s="64" t="s">
        <v>136</v>
      </c>
      <c r="C443" s="65">
        <v>1000</v>
      </c>
      <c r="D443" s="65">
        <v>25.725000000000001</v>
      </c>
      <c r="E443" s="8">
        <f t="shared" ref="E443:E462" si="34">C443/D443</f>
        <v>38.872691933916421</v>
      </c>
      <c r="F443" s="83"/>
    </row>
    <row r="444" spans="1:6" ht="15.75" thickBot="1">
      <c r="A444" s="63" t="s">
        <v>87</v>
      </c>
      <c r="B444" s="64" t="s">
        <v>153</v>
      </c>
      <c r="C444" s="65">
        <v>1000</v>
      </c>
      <c r="D444" s="65">
        <v>13.384</v>
      </c>
      <c r="E444" s="8">
        <f t="shared" si="34"/>
        <v>74.716078900179312</v>
      </c>
      <c r="F444" s="83"/>
    </row>
    <row r="445" spans="1:6" ht="15.75" thickBot="1">
      <c r="A445" s="63" t="s">
        <v>89</v>
      </c>
      <c r="B445" s="64" t="s">
        <v>151</v>
      </c>
      <c r="C445" s="65">
        <v>1000</v>
      </c>
      <c r="D445" s="65">
        <v>72.459999999999994</v>
      </c>
      <c r="E445" s="8">
        <f t="shared" si="34"/>
        <v>13.800717637317142</v>
      </c>
      <c r="F445" s="83"/>
    </row>
    <row r="446" spans="1:6" ht="15.75" thickBot="1">
      <c r="A446" s="63" t="s">
        <v>91</v>
      </c>
      <c r="B446" s="64" t="s">
        <v>152</v>
      </c>
      <c r="C446" s="65">
        <v>1000</v>
      </c>
      <c r="D446" s="65">
        <v>27.181000000000001</v>
      </c>
      <c r="E446" s="8">
        <f t="shared" si="34"/>
        <v>36.790405062359739</v>
      </c>
      <c r="F446" s="83"/>
    </row>
    <row r="447" spans="1:6" ht="15.75" thickBot="1">
      <c r="A447" s="63" t="s">
        <v>93</v>
      </c>
      <c r="B447" s="64" t="s">
        <v>94</v>
      </c>
      <c r="C447" s="65">
        <v>1000</v>
      </c>
      <c r="D447" s="65">
        <v>46.594999999999999</v>
      </c>
      <c r="E447" s="8">
        <f t="shared" si="34"/>
        <v>21.461530207103767</v>
      </c>
      <c r="F447" s="83"/>
    </row>
    <row r="448" spans="1:6" ht="15.75" thickBot="1">
      <c r="A448" s="63" t="s">
        <v>95</v>
      </c>
      <c r="B448" s="64" t="s">
        <v>150</v>
      </c>
      <c r="C448" s="65">
        <v>1000</v>
      </c>
      <c r="D448" s="65">
        <v>29.170999999999999</v>
      </c>
      <c r="E448" s="8">
        <f t="shared" si="34"/>
        <v>34.280621164855511</v>
      </c>
      <c r="F448" s="83"/>
    </row>
    <row r="449" spans="1:6" ht="15.75" thickBot="1">
      <c r="A449" s="63" t="s">
        <v>11</v>
      </c>
      <c r="B449" s="64" t="s">
        <v>145</v>
      </c>
      <c r="C449" s="65">
        <v>1000</v>
      </c>
      <c r="D449" s="65">
        <v>10.115</v>
      </c>
      <c r="E449" s="8">
        <f t="shared" si="34"/>
        <v>98.863074641621353</v>
      </c>
      <c r="F449" s="83"/>
    </row>
    <row r="450" spans="1:6" ht="15.75" thickBot="1">
      <c r="A450" s="63" t="s">
        <v>97</v>
      </c>
      <c r="B450" s="64" t="s">
        <v>148</v>
      </c>
      <c r="C450" s="65">
        <v>1000</v>
      </c>
      <c r="D450" s="65">
        <v>14.946999999999999</v>
      </c>
      <c r="E450" s="8">
        <f t="shared" si="34"/>
        <v>66.903057469726363</v>
      </c>
      <c r="F450" s="83"/>
    </row>
    <row r="451" spans="1:6" ht="15.75" thickBot="1">
      <c r="A451" s="63" t="s">
        <v>99</v>
      </c>
      <c r="B451" s="64" t="s">
        <v>149</v>
      </c>
      <c r="C451" s="65">
        <v>1000</v>
      </c>
      <c r="D451" s="65">
        <v>25.875</v>
      </c>
      <c r="E451" s="8">
        <f t="shared" si="34"/>
        <v>38.647342995169083</v>
      </c>
      <c r="F451" s="83"/>
    </row>
    <row r="452" spans="1:6" ht="15.75" thickBot="1">
      <c r="A452" s="63" t="s">
        <v>147</v>
      </c>
      <c r="B452" s="64" t="s">
        <v>154</v>
      </c>
      <c r="C452" s="65">
        <v>2000</v>
      </c>
      <c r="D452" s="65">
        <v>17.172999999999998</v>
      </c>
      <c r="E452" s="8">
        <f t="shared" si="34"/>
        <v>116.46188784720202</v>
      </c>
      <c r="F452" s="83"/>
    </row>
    <row r="453" spans="1:6" ht="15.75" thickBot="1">
      <c r="A453" s="63" t="s">
        <v>23</v>
      </c>
      <c r="B453" s="64" t="s">
        <v>144</v>
      </c>
      <c r="C453" s="65">
        <v>1000</v>
      </c>
      <c r="D453" s="65">
        <v>17.847000000000001</v>
      </c>
      <c r="E453" s="8">
        <f t="shared" si="34"/>
        <v>56.031826077211853</v>
      </c>
      <c r="F453" s="83"/>
    </row>
    <row r="454" spans="1:6" ht="15.75" thickBot="1">
      <c r="A454" s="63" t="s">
        <v>21</v>
      </c>
      <c r="B454" s="64" t="s">
        <v>143</v>
      </c>
      <c r="C454" s="65">
        <v>1000</v>
      </c>
      <c r="D454" s="65">
        <v>10.68</v>
      </c>
      <c r="E454" s="8">
        <f t="shared" si="34"/>
        <v>93.632958801498134</v>
      </c>
      <c r="F454" s="83"/>
    </row>
    <row r="455" spans="1:6" ht="15.75" thickBot="1">
      <c r="A455" s="63" t="s">
        <v>13</v>
      </c>
      <c r="B455" s="64" t="s">
        <v>138</v>
      </c>
      <c r="C455" s="65">
        <v>1000</v>
      </c>
      <c r="D455" s="65">
        <v>11.942</v>
      </c>
      <c r="E455" s="8">
        <f t="shared" si="34"/>
        <v>83.738067325406135</v>
      </c>
      <c r="F455" s="83"/>
    </row>
    <row r="456" spans="1:6" ht="15.75" thickBot="1">
      <c r="A456" s="63" t="s">
        <v>15</v>
      </c>
      <c r="B456" s="64" t="s">
        <v>139</v>
      </c>
      <c r="C456" s="65">
        <v>1000</v>
      </c>
      <c r="D456" s="65">
        <v>6.4370000000000003</v>
      </c>
      <c r="E456" s="8">
        <f t="shared" si="34"/>
        <v>155.35187199005748</v>
      </c>
      <c r="F456" s="83"/>
    </row>
    <row r="457" spans="1:6" ht="15.75" thickBot="1">
      <c r="A457" s="63" t="s">
        <v>17</v>
      </c>
      <c r="B457" s="64" t="s">
        <v>140</v>
      </c>
      <c r="C457" s="65">
        <v>1000</v>
      </c>
      <c r="D457" s="65">
        <v>9.9909999999999997</v>
      </c>
      <c r="E457" s="8">
        <f t="shared" si="34"/>
        <v>100.09008107296567</v>
      </c>
      <c r="F457" s="83"/>
    </row>
    <row r="458" spans="1:6" ht="15.75" thickBot="1">
      <c r="A458" s="63" t="s">
        <v>19</v>
      </c>
      <c r="B458" s="64" t="s">
        <v>141</v>
      </c>
      <c r="C458" s="65">
        <v>1000</v>
      </c>
      <c r="D458" s="65">
        <v>13.106</v>
      </c>
      <c r="E458" s="8">
        <f t="shared" si="34"/>
        <v>76.300930871356627</v>
      </c>
      <c r="F458" s="83"/>
    </row>
    <row r="459" spans="1:6" ht="15.75" thickBot="1">
      <c r="A459" s="63" t="s">
        <v>37</v>
      </c>
      <c r="B459" s="64" t="s">
        <v>38</v>
      </c>
      <c r="C459" s="65">
        <v>1000</v>
      </c>
      <c r="D459" s="65">
        <v>12.356</v>
      </c>
      <c r="E459" s="8">
        <f t="shared" si="34"/>
        <v>80.932340563289088</v>
      </c>
      <c r="F459" s="83"/>
    </row>
    <row r="460" spans="1:6" ht="15.75" thickBot="1">
      <c r="A460" s="63" t="s">
        <v>40</v>
      </c>
      <c r="B460" s="64" t="s">
        <v>146</v>
      </c>
      <c r="C460" s="65">
        <v>1000</v>
      </c>
      <c r="D460" s="65">
        <v>6.7489999999999997</v>
      </c>
      <c r="E460" s="8">
        <f t="shared" si="34"/>
        <v>148.17009927396651</v>
      </c>
      <c r="F460" s="83"/>
    </row>
    <row r="461" spans="1:6" ht="15.75" thickBot="1">
      <c r="A461" s="63" t="s">
        <v>41</v>
      </c>
      <c r="B461" s="64" t="s">
        <v>137</v>
      </c>
      <c r="C461" s="65">
        <v>1000</v>
      </c>
      <c r="D461" s="65">
        <v>6.6260000000000003</v>
      </c>
      <c r="E461" s="8">
        <f t="shared" si="34"/>
        <v>150.92061575611228</v>
      </c>
      <c r="F461" s="83"/>
    </row>
    <row r="462" spans="1:6" ht="15.75" thickBot="1">
      <c r="A462" s="63" t="s">
        <v>42</v>
      </c>
      <c r="B462" s="64" t="s">
        <v>142</v>
      </c>
      <c r="C462" s="65">
        <v>1000</v>
      </c>
      <c r="D462" s="65">
        <v>4.3179999999999996</v>
      </c>
      <c r="E462" s="8">
        <f t="shared" si="34"/>
        <v>231.58869847151462</v>
      </c>
      <c r="F462" s="83"/>
    </row>
    <row r="464" spans="1:6" ht="15.75" thickBot="1"/>
    <row r="465" spans="1:6" ht="30.75" thickBot="1">
      <c r="A465" s="61" t="s">
        <v>172</v>
      </c>
      <c r="B465" s="62" t="s">
        <v>6</v>
      </c>
      <c r="C465" s="62" t="s">
        <v>7</v>
      </c>
      <c r="D465" s="62" t="s">
        <v>8</v>
      </c>
      <c r="E465" s="81" t="s">
        <v>9</v>
      </c>
      <c r="F465" s="61" t="s">
        <v>134</v>
      </c>
    </row>
    <row r="466" spans="1:6" ht="15.75" thickBot="1">
      <c r="A466" s="63" t="s">
        <v>85</v>
      </c>
      <c r="B466" s="64" t="s">
        <v>136</v>
      </c>
      <c r="C466" s="65">
        <v>1000</v>
      </c>
      <c r="D466" s="65">
        <v>23.876999999999999</v>
      </c>
      <c r="E466" s="8">
        <f t="shared" ref="E466:E485" si="35">C466/D466</f>
        <v>41.881308372073548</v>
      </c>
      <c r="F466" s="83"/>
    </row>
    <row r="467" spans="1:6" ht="15.75" thickBot="1">
      <c r="A467" s="63" t="s">
        <v>87</v>
      </c>
      <c r="B467" s="64" t="s">
        <v>153</v>
      </c>
      <c r="C467" s="65">
        <v>1000</v>
      </c>
      <c r="D467" s="65">
        <v>12.336</v>
      </c>
      <c r="E467" s="8">
        <f t="shared" si="35"/>
        <v>81.063553826199737</v>
      </c>
      <c r="F467" s="83"/>
    </row>
    <row r="468" spans="1:6" ht="15.75" thickBot="1">
      <c r="A468" s="63" t="s">
        <v>89</v>
      </c>
      <c r="B468" s="64" t="s">
        <v>151</v>
      </c>
      <c r="C468" s="65">
        <v>1000</v>
      </c>
      <c r="D468" s="65">
        <v>67.111000000000004</v>
      </c>
      <c r="E468" s="8">
        <f t="shared" si="35"/>
        <v>14.900686921667088</v>
      </c>
      <c r="F468" s="83"/>
    </row>
    <row r="469" spans="1:6" ht="15.75" thickBot="1">
      <c r="A469" s="63" t="s">
        <v>91</v>
      </c>
      <c r="B469" s="64" t="s">
        <v>152</v>
      </c>
      <c r="C469" s="65">
        <v>1000</v>
      </c>
      <c r="D469" s="65">
        <v>25.317</v>
      </c>
      <c r="E469" s="8">
        <f t="shared" si="35"/>
        <v>39.499150768258481</v>
      </c>
      <c r="F469" s="83"/>
    </row>
    <row r="470" spans="1:6" ht="15.75" thickBot="1">
      <c r="A470" s="63" t="s">
        <v>93</v>
      </c>
      <c r="B470" s="64" t="s">
        <v>94</v>
      </c>
      <c r="C470" s="65">
        <v>1000</v>
      </c>
      <c r="D470" s="65">
        <v>43.343000000000004</v>
      </c>
      <c r="E470" s="8">
        <f t="shared" si="35"/>
        <v>23.071776296057031</v>
      </c>
      <c r="F470" s="83"/>
    </row>
    <row r="471" spans="1:6" ht="15.75" thickBot="1">
      <c r="A471" s="63" t="s">
        <v>95</v>
      </c>
      <c r="B471" s="64" t="s">
        <v>150</v>
      </c>
      <c r="C471" s="65">
        <v>1000</v>
      </c>
      <c r="D471" s="65">
        <v>27.96</v>
      </c>
      <c r="E471" s="8">
        <f t="shared" si="35"/>
        <v>35.765379113018597</v>
      </c>
      <c r="F471" s="83"/>
    </row>
    <row r="472" spans="1:6" ht="15.75" thickBot="1">
      <c r="A472" s="63" t="s">
        <v>11</v>
      </c>
      <c r="B472" s="64" t="s">
        <v>145</v>
      </c>
      <c r="C472" s="65">
        <v>1000</v>
      </c>
      <c r="D472" s="65">
        <v>9.2810000000000006</v>
      </c>
      <c r="E472" s="8">
        <f t="shared" si="35"/>
        <v>107.74701002047192</v>
      </c>
      <c r="F472" s="83"/>
    </row>
    <row r="473" spans="1:6" ht="15.75" thickBot="1">
      <c r="A473" s="63" t="s">
        <v>97</v>
      </c>
      <c r="B473" s="64" t="s">
        <v>148</v>
      </c>
      <c r="C473" s="65">
        <v>1000</v>
      </c>
      <c r="D473" s="65">
        <v>13.651999999999999</v>
      </c>
      <c r="E473" s="8">
        <f t="shared" si="35"/>
        <v>73.249340755933204</v>
      </c>
      <c r="F473" s="83"/>
    </row>
    <row r="474" spans="1:6" ht="15.75" thickBot="1">
      <c r="A474" s="63" t="s">
        <v>99</v>
      </c>
      <c r="B474" s="64" t="s">
        <v>149</v>
      </c>
      <c r="C474" s="65">
        <v>1000</v>
      </c>
      <c r="D474" s="65">
        <v>24.419</v>
      </c>
      <c r="E474" s="8">
        <f t="shared" si="35"/>
        <v>40.951717924566935</v>
      </c>
      <c r="F474" s="83"/>
    </row>
    <row r="475" spans="1:6" ht="15.75" thickBot="1">
      <c r="A475" s="63" t="s">
        <v>147</v>
      </c>
      <c r="B475" s="64" t="s">
        <v>154</v>
      </c>
      <c r="C475" s="65">
        <v>2000</v>
      </c>
      <c r="D475" s="65">
        <v>16.413</v>
      </c>
      <c r="E475" s="8">
        <f t="shared" si="35"/>
        <v>121.85462742947664</v>
      </c>
      <c r="F475" s="83"/>
    </row>
    <row r="476" spans="1:6" ht="15.75" thickBot="1">
      <c r="A476" s="63" t="s">
        <v>23</v>
      </c>
      <c r="B476" s="64" t="s">
        <v>144</v>
      </c>
      <c r="C476" s="65">
        <v>1000</v>
      </c>
      <c r="D476" s="65">
        <v>16.699000000000002</v>
      </c>
      <c r="E476" s="8">
        <f t="shared" si="35"/>
        <v>59.883825378765188</v>
      </c>
      <c r="F476" s="83"/>
    </row>
    <row r="477" spans="1:6" ht="15.75" thickBot="1">
      <c r="A477" s="63" t="s">
        <v>21</v>
      </c>
      <c r="B477" s="64" t="s">
        <v>143</v>
      </c>
      <c r="C477" s="65">
        <v>1000</v>
      </c>
      <c r="D477" s="65">
        <v>10.099</v>
      </c>
      <c r="E477" s="8">
        <f t="shared" si="35"/>
        <v>99.019704921279327</v>
      </c>
      <c r="F477" s="83"/>
    </row>
    <row r="478" spans="1:6" ht="15.75" thickBot="1">
      <c r="A478" s="63" t="s">
        <v>13</v>
      </c>
      <c r="B478" s="64" t="s">
        <v>138</v>
      </c>
      <c r="C478" s="65">
        <v>1000</v>
      </c>
      <c r="D478" s="65">
        <v>11.007</v>
      </c>
      <c r="E478" s="8">
        <f t="shared" si="35"/>
        <v>90.851276460434278</v>
      </c>
      <c r="F478" s="83"/>
    </row>
    <row r="479" spans="1:6" ht="15.75" thickBot="1">
      <c r="A479" s="63" t="s">
        <v>15</v>
      </c>
      <c r="B479" s="64" t="s">
        <v>139</v>
      </c>
      <c r="C479" s="65">
        <v>1000</v>
      </c>
      <c r="D479" s="65">
        <v>6.1589999999999998</v>
      </c>
      <c r="E479" s="8">
        <f t="shared" si="35"/>
        <v>162.3640201331385</v>
      </c>
      <c r="F479" s="83"/>
    </row>
    <row r="480" spans="1:6" ht="15.75" thickBot="1">
      <c r="A480" s="63" t="s">
        <v>17</v>
      </c>
      <c r="B480" s="64" t="s">
        <v>140</v>
      </c>
      <c r="C480" s="65">
        <v>1000</v>
      </c>
      <c r="D480" s="65">
        <v>9.2309999999999999</v>
      </c>
      <c r="E480" s="8">
        <f t="shared" si="35"/>
        <v>108.33062506770665</v>
      </c>
      <c r="F480" s="83"/>
    </row>
    <row r="481" spans="1:6" ht="15.75" thickBot="1">
      <c r="A481" s="63" t="s">
        <v>19</v>
      </c>
      <c r="B481" s="64" t="s">
        <v>141</v>
      </c>
      <c r="C481" s="65">
        <v>1000</v>
      </c>
      <c r="D481" s="65">
        <v>12.411</v>
      </c>
      <c r="E481" s="8">
        <f t="shared" si="35"/>
        <v>80.573684634598337</v>
      </c>
      <c r="F481" s="83"/>
    </row>
    <row r="482" spans="1:6" ht="15.75" thickBot="1">
      <c r="A482" s="63" t="s">
        <v>37</v>
      </c>
      <c r="B482" s="64" t="s">
        <v>38</v>
      </c>
      <c r="C482" s="65">
        <v>1000</v>
      </c>
      <c r="D482" s="65">
        <v>11.375</v>
      </c>
      <c r="E482" s="8">
        <f t="shared" si="35"/>
        <v>87.912087912087912</v>
      </c>
      <c r="F482" s="83"/>
    </row>
    <row r="483" spans="1:6" ht="15.75" thickBot="1">
      <c r="A483" s="63" t="s">
        <v>40</v>
      </c>
      <c r="B483" s="64" t="s">
        <v>146</v>
      </c>
      <c r="C483" s="65">
        <v>1000</v>
      </c>
      <c r="D483" s="65">
        <v>6.3540000000000001</v>
      </c>
      <c r="E483" s="8">
        <f t="shared" si="35"/>
        <v>157.38117721120554</v>
      </c>
      <c r="F483" s="83"/>
    </row>
    <row r="484" spans="1:6" ht="15.75" thickBot="1">
      <c r="A484" s="63" t="s">
        <v>41</v>
      </c>
      <c r="B484" s="64" t="s">
        <v>137</v>
      </c>
      <c r="C484" s="65">
        <v>1000</v>
      </c>
      <c r="D484" s="65">
        <v>6.1360000000000001</v>
      </c>
      <c r="E484" s="8">
        <f t="shared" si="35"/>
        <v>162.97262059973923</v>
      </c>
      <c r="F484" s="83"/>
    </row>
    <row r="485" spans="1:6" ht="15.75" thickBot="1">
      <c r="A485" s="63" t="s">
        <v>42</v>
      </c>
      <c r="B485" s="64" t="s">
        <v>142</v>
      </c>
      <c r="C485" s="65">
        <v>1000</v>
      </c>
      <c r="D485" s="65">
        <v>4.0449999999999999</v>
      </c>
      <c r="E485" s="8">
        <f t="shared" si="35"/>
        <v>247.21878862793574</v>
      </c>
      <c r="F485" s="83"/>
    </row>
    <row r="487" spans="1:6" ht="15.75" thickBot="1"/>
    <row r="488" spans="1:6" ht="30.75" thickBot="1">
      <c r="A488" s="61" t="s">
        <v>173</v>
      </c>
      <c r="B488" s="62" t="s">
        <v>6</v>
      </c>
      <c r="C488" s="62" t="s">
        <v>7</v>
      </c>
      <c r="D488" s="62" t="s">
        <v>8</v>
      </c>
      <c r="E488" s="81" t="s">
        <v>9</v>
      </c>
      <c r="F488" s="61" t="s">
        <v>134</v>
      </c>
    </row>
    <row r="489" spans="1:6" ht="15.75" thickBot="1">
      <c r="A489" s="63" t="s">
        <v>85</v>
      </c>
      <c r="B489" s="64" t="s">
        <v>136</v>
      </c>
      <c r="C489" s="65">
        <v>1000</v>
      </c>
      <c r="D489" s="65">
        <v>21.579000000000001</v>
      </c>
      <c r="E489" s="8">
        <f t="shared" ref="E489:E508" si="36">C489/D489</f>
        <v>46.341350386950275</v>
      </c>
      <c r="F489" s="83"/>
    </row>
    <row r="490" spans="1:6" ht="15.75" thickBot="1">
      <c r="A490" s="63" t="s">
        <v>87</v>
      </c>
      <c r="B490" s="64" t="s">
        <v>153</v>
      </c>
      <c r="C490" s="65">
        <v>1000</v>
      </c>
      <c r="D490" s="65">
        <v>11.928000000000001</v>
      </c>
      <c r="E490" s="8">
        <f t="shared" si="36"/>
        <v>83.836351441985244</v>
      </c>
      <c r="F490" s="83"/>
    </row>
    <row r="491" spans="1:6" ht="15.75" thickBot="1">
      <c r="A491" s="63" t="s">
        <v>89</v>
      </c>
      <c r="B491" s="64" t="s">
        <v>151</v>
      </c>
      <c r="C491" s="65">
        <v>1000</v>
      </c>
      <c r="D491" s="65">
        <v>63.088000000000001</v>
      </c>
      <c r="E491" s="8">
        <f t="shared" si="36"/>
        <v>15.85087496829825</v>
      </c>
      <c r="F491" s="83"/>
    </row>
    <row r="492" spans="1:6" ht="15.75" thickBot="1">
      <c r="A492" s="63" t="s">
        <v>91</v>
      </c>
      <c r="B492" s="64" t="s">
        <v>152</v>
      </c>
      <c r="C492" s="65">
        <v>1000</v>
      </c>
      <c r="D492" s="65">
        <v>22.984000000000002</v>
      </c>
      <c r="E492" s="8">
        <f t="shared" si="36"/>
        <v>43.508527671423593</v>
      </c>
      <c r="F492" s="83"/>
    </row>
    <row r="493" spans="1:6" ht="15.75" thickBot="1">
      <c r="A493" s="63" t="s">
        <v>93</v>
      </c>
      <c r="B493" s="64" t="s">
        <v>94</v>
      </c>
      <c r="C493" s="65">
        <v>1000</v>
      </c>
      <c r="D493" s="65">
        <v>38.850999999999999</v>
      </c>
      <c r="E493" s="8">
        <f t="shared" si="36"/>
        <v>25.739363208154231</v>
      </c>
      <c r="F493" s="83"/>
    </row>
    <row r="494" spans="1:6" ht="15.75" thickBot="1">
      <c r="A494" s="63" t="s">
        <v>95</v>
      </c>
      <c r="B494" s="64" t="s">
        <v>150</v>
      </c>
      <c r="C494" s="65">
        <v>1000</v>
      </c>
      <c r="D494" s="65">
        <v>25.151</v>
      </c>
      <c r="E494" s="8">
        <f t="shared" si="36"/>
        <v>39.759850502962109</v>
      </c>
      <c r="F494" s="83"/>
    </row>
    <row r="495" spans="1:6" ht="15.75" thickBot="1">
      <c r="A495" s="63" t="s">
        <v>11</v>
      </c>
      <c r="B495" s="64" t="s">
        <v>145</v>
      </c>
      <c r="C495" s="65">
        <v>1000</v>
      </c>
      <c r="D495" s="65">
        <v>8.9169999999999998</v>
      </c>
      <c r="E495" s="8">
        <f t="shared" si="36"/>
        <v>112.145340361108</v>
      </c>
      <c r="F495" s="83"/>
    </row>
    <row r="496" spans="1:6" ht="15.75" thickBot="1">
      <c r="A496" s="63" t="s">
        <v>97</v>
      </c>
      <c r="B496" s="64" t="s">
        <v>148</v>
      </c>
      <c r="C496" s="65">
        <v>1000</v>
      </c>
      <c r="D496" s="65">
        <v>13.12</v>
      </c>
      <c r="E496" s="8">
        <f t="shared" si="36"/>
        <v>76.219512195121951</v>
      </c>
      <c r="F496" s="83"/>
    </row>
    <row r="497" spans="1:6" ht="15.75" thickBot="1">
      <c r="A497" s="63" t="s">
        <v>99</v>
      </c>
      <c r="B497" s="64" t="s">
        <v>149</v>
      </c>
      <c r="C497" s="65">
        <v>1000</v>
      </c>
      <c r="D497" s="65">
        <v>21.440999999999999</v>
      </c>
      <c r="E497" s="8">
        <f t="shared" si="36"/>
        <v>46.639615689566718</v>
      </c>
      <c r="F497" s="83"/>
    </row>
    <row r="498" spans="1:6" ht="15.75" thickBot="1">
      <c r="A498" s="63" t="s">
        <v>147</v>
      </c>
      <c r="B498" s="64" t="s">
        <v>154</v>
      </c>
      <c r="C498" s="65">
        <v>2000</v>
      </c>
      <c r="D498" s="65">
        <v>14.462</v>
      </c>
      <c r="E498" s="8">
        <f t="shared" si="36"/>
        <v>138.29345871940257</v>
      </c>
      <c r="F498" s="83"/>
    </row>
    <row r="499" spans="1:6" ht="15.75" thickBot="1">
      <c r="A499" s="63" t="s">
        <v>23</v>
      </c>
      <c r="B499" s="64" t="s">
        <v>144</v>
      </c>
      <c r="C499" s="65">
        <v>1000</v>
      </c>
      <c r="D499" s="65">
        <v>16.564</v>
      </c>
      <c r="E499" s="8">
        <f t="shared" si="36"/>
        <v>60.371890847621344</v>
      </c>
      <c r="F499" s="83"/>
    </row>
    <row r="500" spans="1:6" ht="15.75" thickBot="1">
      <c r="A500" s="63" t="s">
        <v>21</v>
      </c>
      <c r="B500" s="64" t="s">
        <v>143</v>
      </c>
      <c r="C500" s="65">
        <v>1000</v>
      </c>
      <c r="D500" s="65">
        <v>9.3480000000000008</v>
      </c>
      <c r="E500" s="8">
        <f t="shared" si="36"/>
        <v>106.97475395806589</v>
      </c>
      <c r="F500" s="83"/>
    </row>
    <row r="501" spans="1:6" ht="15.75" thickBot="1">
      <c r="A501" s="63" t="s">
        <v>13</v>
      </c>
      <c r="B501" s="64" t="s">
        <v>138</v>
      </c>
      <c r="C501" s="65">
        <v>1000</v>
      </c>
      <c r="D501" s="65">
        <v>10.804</v>
      </c>
      <c r="E501" s="8">
        <f t="shared" si="36"/>
        <v>92.558311736393932</v>
      </c>
      <c r="F501" s="83"/>
    </row>
    <row r="502" spans="1:6" ht="15.75" thickBot="1">
      <c r="A502" s="63" t="s">
        <v>15</v>
      </c>
      <c r="B502" s="64" t="s">
        <v>139</v>
      </c>
      <c r="C502" s="65">
        <v>1000</v>
      </c>
      <c r="D502" s="65">
        <v>5.8239999999999998</v>
      </c>
      <c r="E502" s="8">
        <f t="shared" si="36"/>
        <v>171.7032967032967</v>
      </c>
      <c r="F502" s="83"/>
    </row>
    <row r="503" spans="1:6" ht="15.75" thickBot="1">
      <c r="A503" s="63" t="s">
        <v>17</v>
      </c>
      <c r="B503" s="64" t="s">
        <v>140</v>
      </c>
      <c r="C503" s="65">
        <v>1000</v>
      </c>
      <c r="D503" s="65">
        <v>9.0749999999999993</v>
      </c>
      <c r="E503" s="8">
        <f t="shared" si="36"/>
        <v>110.19283746556475</v>
      </c>
      <c r="F503" s="83"/>
    </row>
    <row r="504" spans="1:6" ht="15.75" thickBot="1">
      <c r="A504" s="63" t="s">
        <v>19</v>
      </c>
      <c r="B504" s="64" t="s">
        <v>141</v>
      </c>
      <c r="C504" s="65">
        <v>1000</v>
      </c>
      <c r="D504" s="65">
        <v>11.401</v>
      </c>
      <c r="E504" s="8">
        <f t="shared" si="36"/>
        <v>87.711604245241645</v>
      </c>
      <c r="F504" s="83"/>
    </row>
    <row r="505" spans="1:6" ht="15.75" thickBot="1">
      <c r="A505" s="63" t="s">
        <v>37</v>
      </c>
      <c r="B505" s="64" t="s">
        <v>38</v>
      </c>
      <c r="C505" s="65">
        <v>1000</v>
      </c>
      <c r="D505" s="65">
        <v>11.000999999999999</v>
      </c>
      <c r="E505" s="8">
        <f t="shared" si="36"/>
        <v>90.900827197527505</v>
      </c>
      <c r="F505" s="83"/>
    </row>
    <row r="506" spans="1:6" ht="15.75" thickBot="1">
      <c r="A506" s="63" t="s">
        <v>40</v>
      </c>
      <c r="B506" s="64" t="s">
        <v>146</v>
      </c>
      <c r="C506" s="65">
        <v>1000</v>
      </c>
      <c r="D506" s="65">
        <v>5.859</v>
      </c>
      <c r="E506" s="8">
        <f t="shared" si="36"/>
        <v>170.67759003242875</v>
      </c>
      <c r="F506" s="83"/>
    </row>
    <row r="507" spans="1:6" ht="15.75" thickBot="1">
      <c r="A507" s="63" t="s">
        <v>41</v>
      </c>
      <c r="B507" s="64" t="s">
        <v>137</v>
      </c>
      <c r="C507" s="65">
        <v>1000</v>
      </c>
      <c r="D507" s="65">
        <v>5.7080000000000002</v>
      </c>
      <c r="E507" s="8">
        <f t="shared" si="36"/>
        <v>175.19271198318148</v>
      </c>
      <c r="F507" s="83"/>
    </row>
    <row r="508" spans="1:6" ht="15.75" thickBot="1">
      <c r="A508" s="63" t="s">
        <v>42</v>
      </c>
      <c r="B508" s="64" t="s">
        <v>142</v>
      </c>
      <c r="C508" s="65">
        <v>1000</v>
      </c>
      <c r="D508" s="65">
        <v>3.9380000000000002</v>
      </c>
      <c r="E508" s="8">
        <f t="shared" si="36"/>
        <v>253.93600812595224</v>
      </c>
      <c r="F508" s="83"/>
    </row>
    <row r="510" spans="1:6" ht="15.75" thickBot="1"/>
    <row r="511" spans="1:6" ht="30.75" thickBot="1">
      <c r="A511" s="61" t="s">
        <v>174</v>
      </c>
      <c r="B511" s="62" t="s">
        <v>6</v>
      </c>
      <c r="C511" s="62" t="s">
        <v>7</v>
      </c>
      <c r="D511" s="62" t="s">
        <v>8</v>
      </c>
      <c r="E511" s="81" t="s">
        <v>9</v>
      </c>
      <c r="F511" s="61" t="s">
        <v>134</v>
      </c>
    </row>
    <row r="512" spans="1:6" ht="15.75" thickBot="1">
      <c r="A512" s="63" t="s">
        <v>85</v>
      </c>
      <c r="B512" s="64" t="s">
        <v>136</v>
      </c>
      <c r="C512" s="65">
        <v>1000</v>
      </c>
      <c r="D512" s="65">
        <v>21.175999999999998</v>
      </c>
      <c r="E512" s="8">
        <f t="shared" ref="E512:E531" si="37">C512/D512</f>
        <v>47.223271628258409</v>
      </c>
      <c r="F512" s="83"/>
    </row>
    <row r="513" spans="1:6" ht="15.75" thickBot="1">
      <c r="A513" s="63" t="s">
        <v>87</v>
      </c>
      <c r="B513" s="64" t="s">
        <v>153</v>
      </c>
      <c r="C513" s="65">
        <v>1000</v>
      </c>
      <c r="D513" s="65">
        <v>11.718999999999999</v>
      </c>
      <c r="E513" s="8">
        <f t="shared" si="37"/>
        <v>85.331512927724219</v>
      </c>
      <c r="F513" s="83"/>
    </row>
    <row r="514" spans="1:6" ht="15.75" thickBot="1">
      <c r="A514" s="63" t="s">
        <v>89</v>
      </c>
      <c r="B514" s="64" t="s">
        <v>151</v>
      </c>
      <c r="C514" s="65">
        <v>1000</v>
      </c>
      <c r="D514" s="65">
        <v>61.993000000000002</v>
      </c>
      <c r="E514" s="8">
        <f t="shared" si="37"/>
        <v>16.130853483457809</v>
      </c>
      <c r="F514" s="83"/>
    </row>
    <row r="515" spans="1:6" ht="15.75" thickBot="1">
      <c r="A515" s="63" t="s">
        <v>91</v>
      </c>
      <c r="B515" s="64" t="s">
        <v>152</v>
      </c>
      <c r="C515" s="65">
        <v>1000</v>
      </c>
      <c r="D515" s="65">
        <v>22.254999999999999</v>
      </c>
      <c r="E515" s="8">
        <f t="shared" si="37"/>
        <v>44.933722758930578</v>
      </c>
      <c r="F515" s="83"/>
    </row>
    <row r="516" spans="1:6" ht="15.75" thickBot="1">
      <c r="A516" s="63" t="s">
        <v>93</v>
      </c>
      <c r="B516" s="64" t="s">
        <v>94</v>
      </c>
      <c r="C516" s="65">
        <v>1000</v>
      </c>
      <c r="D516" s="65">
        <v>37.511000000000003</v>
      </c>
      <c r="E516" s="8">
        <f t="shared" si="37"/>
        <v>26.658846738290098</v>
      </c>
      <c r="F516" s="83"/>
    </row>
    <row r="517" spans="1:6" ht="15.75" thickBot="1">
      <c r="A517" s="63" t="s">
        <v>95</v>
      </c>
      <c r="B517" s="64" t="s">
        <v>150</v>
      </c>
      <c r="C517" s="65">
        <v>1000</v>
      </c>
      <c r="D517" s="65">
        <v>24.588999999999999</v>
      </c>
      <c r="E517" s="8">
        <f t="shared" si="37"/>
        <v>40.668591646671281</v>
      </c>
      <c r="F517" s="83"/>
    </row>
    <row r="518" spans="1:6" ht="15.75" thickBot="1">
      <c r="A518" s="63" t="s">
        <v>11</v>
      </c>
      <c r="B518" s="64" t="s">
        <v>145</v>
      </c>
      <c r="C518" s="65">
        <v>1000</v>
      </c>
      <c r="D518" s="65">
        <v>8.7639999999999993</v>
      </c>
      <c r="E518" s="8">
        <f t="shared" si="37"/>
        <v>114.10314924691923</v>
      </c>
      <c r="F518" s="83"/>
    </row>
    <row r="519" spans="1:6" ht="15.75" thickBot="1">
      <c r="A519" s="63" t="s">
        <v>97</v>
      </c>
      <c r="B519" s="64" t="s">
        <v>148</v>
      </c>
      <c r="C519" s="65">
        <v>1000</v>
      </c>
      <c r="D519" s="65">
        <v>12.936999999999999</v>
      </c>
      <c r="E519" s="8">
        <f t="shared" si="37"/>
        <v>77.297673340032475</v>
      </c>
      <c r="F519" s="83"/>
    </row>
    <row r="520" spans="1:6" ht="15.75" thickBot="1">
      <c r="A520" s="63" t="s">
        <v>99</v>
      </c>
      <c r="B520" s="64" t="s">
        <v>149</v>
      </c>
      <c r="C520" s="65">
        <v>1000</v>
      </c>
      <c r="D520" s="65">
        <v>21.225000000000001</v>
      </c>
      <c r="E520" s="8">
        <f t="shared" si="37"/>
        <v>47.114252061248521</v>
      </c>
      <c r="F520" s="83"/>
    </row>
    <row r="521" spans="1:6" ht="15.75" thickBot="1">
      <c r="A521" s="63" t="s">
        <v>147</v>
      </c>
      <c r="B521" s="64" t="s">
        <v>154</v>
      </c>
      <c r="C521" s="65">
        <v>2000</v>
      </c>
      <c r="D521" s="65">
        <v>14.137</v>
      </c>
      <c r="E521" s="8">
        <f t="shared" si="37"/>
        <v>141.47273113107448</v>
      </c>
      <c r="F521" s="83"/>
    </row>
    <row r="522" spans="1:6" ht="15.75" thickBot="1">
      <c r="A522" s="63" t="s">
        <v>23</v>
      </c>
      <c r="B522" s="64" t="s">
        <v>144</v>
      </c>
      <c r="C522" s="65">
        <v>1000</v>
      </c>
      <c r="D522" s="65">
        <v>16.558</v>
      </c>
      <c r="E522" s="8">
        <f t="shared" si="37"/>
        <v>60.39376736320812</v>
      </c>
      <c r="F522" s="83"/>
    </row>
    <row r="523" spans="1:6" ht="15.75" thickBot="1">
      <c r="A523" s="63" t="s">
        <v>21</v>
      </c>
      <c r="B523" s="64" t="s">
        <v>143</v>
      </c>
      <c r="C523" s="65">
        <v>1000</v>
      </c>
      <c r="D523" s="65">
        <v>9.2899999999999991</v>
      </c>
      <c r="E523" s="8">
        <f t="shared" si="37"/>
        <v>107.64262648008612</v>
      </c>
      <c r="F523" s="83"/>
    </row>
    <row r="524" spans="1:6" ht="15.75" thickBot="1">
      <c r="A524" s="63" t="s">
        <v>13</v>
      </c>
      <c r="B524" s="64" t="s">
        <v>138</v>
      </c>
      <c r="C524" s="65">
        <v>1000</v>
      </c>
      <c r="D524" s="65">
        <v>10.724</v>
      </c>
      <c r="E524" s="8">
        <f t="shared" si="37"/>
        <v>93.248787765759047</v>
      </c>
      <c r="F524" s="83"/>
    </row>
    <row r="525" spans="1:6" ht="15.75" thickBot="1">
      <c r="A525" s="63" t="s">
        <v>15</v>
      </c>
      <c r="B525" s="64" t="s">
        <v>139</v>
      </c>
      <c r="C525" s="65">
        <v>1000</v>
      </c>
      <c r="D525" s="65">
        <v>5.6849999999999996</v>
      </c>
      <c r="E525" s="8">
        <f t="shared" si="37"/>
        <v>175.9014951627089</v>
      </c>
      <c r="F525" s="83"/>
    </row>
    <row r="526" spans="1:6" ht="15.75" thickBot="1">
      <c r="A526" s="63" t="s">
        <v>17</v>
      </c>
      <c r="B526" s="64" t="s">
        <v>140</v>
      </c>
      <c r="C526" s="65">
        <v>1000</v>
      </c>
      <c r="D526" s="65">
        <v>9.0549999999999997</v>
      </c>
      <c r="E526" s="8">
        <f t="shared" si="37"/>
        <v>110.43622308117062</v>
      </c>
      <c r="F526" s="83"/>
    </row>
    <row r="527" spans="1:6" ht="15.75" thickBot="1">
      <c r="A527" s="63" t="s">
        <v>19</v>
      </c>
      <c r="B527" s="64" t="s">
        <v>141</v>
      </c>
      <c r="C527" s="65">
        <v>1000</v>
      </c>
      <c r="D527" s="65">
        <v>11.29</v>
      </c>
      <c r="E527" s="8">
        <f t="shared" si="37"/>
        <v>88.57395925597875</v>
      </c>
      <c r="F527" s="83"/>
    </row>
    <row r="528" spans="1:6" ht="15.75" thickBot="1">
      <c r="A528" s="63" t="s">
        <v>37</v>
      </c>
      <c r="B528" s="64" t="s">
        <v>38</v>
      </c>
      <c r="C528" s="65">
        <v>1000</v>
      </c>
      <c r="D528" s="65">
        <v>11.013</v>
      </c>
      <c r="E528" s="8">
        <f t="shared" si="37"/>
        <v>90.801779714882414</v>
      </c>
      <c r="F528" s="83"/>
    </row>
    <row r="529" spans="1:6" ht="15.75" thickBot="1">
      <c r="A529" s="63" t="s">
        <v>40</v>
      </c>
      <c r="B529" s="64" t="s">
        <v>146</v>
      </c>
      <c r="C529" s="65">
        <v>1000</v>
      </c>
      <c r="D529" s="65">
        <v>5.7809999999999997</v>
      </c>
      <c r="E529" s="8">
        <f t="shared" si="37"/>
        <v>172.98045320878742</v>
      </c>
      <c r="F529" s="83"/>
    </row>
    <row r="530" spans="1:6" ht="15.75" thickBot="1">
      <c r="A530" s="63" t="s">
        <v>41</v>
      </c>
      <c r="B530" s="64" t="s">
        <v>137</v>
      </c>
      <c r="C530" s="65">
        <v>1000</v>
      </c>
      <c r="D530" s="65">
        <v>5.694</v>
      </c>
      <c r="E530" s="8">
        <f t="shared" si="37"/>
        <v>175.62346329469617</v>
      </c>
      <c r="F530" s="83"/>
    </row>
    <row r="531" spans="1:6" ht="15.75" thickBot="1">
      <c r="A531" s="63" t="s">
        <v>42</v>
      </c>
      <c r="B531" s="64" t="s">
        <v>142</v>
      </c>
      <c r="C531" s="65">
        <v>1000</v>
      </c>
      <c r="D531" s="65">
        <v>3.7909999999999999</v>
      </c>
      <c r="E531" s="8">
        <f t="shared" si="37"/>
        <v>263.78264310208391</v>
      </c>
      <c r="F531" s="83"/>
    </row>
    <row r="533" spans="1:6" ht="15.75" thickBot="1"/>
    <row r="534" spans="1:6" ht="30.75" thickBot="1">
      <c r="A534" s="61" t="s">
        <v>175</v>
      </c>
      <c r="B534" s="62" t="s">
        <v>6</v>
      </c>
      <c r="C534" s="62" t="s">
        <v>7</v>
      </c>
      <c r="D534" s="62" t="s">
        <v>8</v>
      </c>
      <c r="E534" s="81" t="s">
        <v>9</v>
      </c>
      <c r="F534" s="61" t="s">
        <v>134</v>
      </c>
    </row>
    <row r="535" spans="1:6" ht="15.75" thickBot="1">
      <c r="A535" s="63" t="s">
        <v>85</v>
      </c>
      <c r="B535" s="64" t="s">
        <v>136</v>
      </c>
      <c r="C535" s="65">
        <v>1000</v>
      </c>
      <c r="D535" s="65">
        <v>21.861999999999998</v>
      </c>
      <c r="E535" s="8">
        <f t="shared" ref="E535:E554" si="38">C535/D535</f>
        <v>45.741469215991224</v>
      </c>
      <c r="F535" s="83"/>
    </row>
    <row r="536" spans="1:6" ht="15.75" thickBot="1">
      <c r="A536" s="63" t="s">
        <v>87</v>
      </c>
      <c r="B536" s="64" t="s">
        <v>153</v>
      </c>
      <c r="C536" s="65">
        <v>1000</v>
      </c>
      <c r="D536" s="65">
        <v>12.208</v>
      </c>
      <c r="E536" s="8">
        <f t="shared" si="38"/>
        <v>81.913499344691999</v>
      </c>
      <c r="F536" s="83"/>
    </row>
    <row r="537" spans="1:6" ht="15.75" thickBot="1">
      <c r="A537" s="63" t="s">
        <v>89</v>
      </c>
      <c r="B537" s="64" t="s">
        <v>151</v>
      </c>
      <c r="C537" s="65">
        <v>1000</v>
      </c>
      <c r="D537" s="65">
        <v>64.222999999999999</v>
      </c>
      <c r="E537" s="8">
        <f t="shared" si="38"/>
        <v>15.57074568301076</v>
      </c>
      <c r="F537" s="83"/>
    </row>
    <row r="538" spans="1:6" ht="15.75" thickBot="1">
      <c r="A538" s="63" t="s">
        <v>91</v>
      </c>
      <c r="B538" s="64" t="s">
        <v>152</v>
      </c>
      <c r="C538" s="65">
        <v>1000</v>
      </c>
      <c r="D538" s="65">
        <v>23.222000000000001</v>
      </c>
      <c r="E538" s="8">
        <f t="shared" si="38"/>
        <v>43.062613039359228</v>
      </c>
      <c r="F538" s="83"/>
    </row>
    <row r="539" spans="1:6" ht="15.75" thickBot="1">
      <c r="A539" s="63" t="s">
        <v>93</v>
      </c>
      <c r="B539" s="64" t="s">
        <v>94</v>
      </c>
      <c r="C539" s="65">
        <v>1000</v>
      </c>
      <c r="D539" s="65">
        <v>38.908000000000001</v>
      </c>
      <c r="E539" s="8">
        <f t="shared" si="38"/>
        <v>25.701655186594017</v>
      </c>
      <c r="F539" s="83"/>
    </row>
    <row r="540" spans="1:6" ht="15.75" thickBot="1">
      <c r="A540" s="63" t="s">
        <v>95</v>
      </c>
      <c r="B540" s="64" t="s">
        <v>150</v>
      </c>
      <c r="C540" s="65">
        <v>1000</v>
      </c>
      <c r="D540" s="65">
        <v>25.187999999999999</v>
      </c>
      <c r="E540" s="8">
        <f t="shared" si="38"/>
        <v>39.701445132602828</v>
      </c>
      <c r="F540" s="83"/>
    </row>
    <row r="541" spans="1:6" ht="15.75" thickBot="1">
      <c r="A541" s="63" t="s">
        <v>11</v>
      </c>
      <c r="B541" s="64" t="s">
        <v>145</v>
      </c>
      <c r="C541" s="65">
        <v>1000</v>
      </c>
      <c r="D541" s="65">
        <v>9.0069999999999997</v>
      </c>
      <c r="E541" s="8">
        <f t="shared" si="38"/>
        <v>111.02475852115022</v>
      </c>
      <c r="F541" s="83"/>
    </row>
    <row r="542" spans="1:6" ht="15.75" thickBot="1">
      <c r="A542" s="63" t="s">
        <v>97</v>
      </c>
      <c r="B542" s="64" t="s">
        <v>148</v>
      </c>
      <c r="C542" s="65">
        <v>1000</v>
      </c>
      <c r="D542" s="65">
        <v>13.178000000000001</v>
      </c>
      <c r="E542" s="8">
        <f t="shared" si="38"/>
        <v>75.884049172863854</v>
      </c>
      <c r="F542" s="83"/>
    </row>
    <row r="543" spans="1:6" ht="15.75" thickBot="1">
      <c r="A543" s="63" t="s">
        <v>99</v>
      </c>
      <c r="B543" s="64" t="s">
        <v>149</v>
      </c>
      <c r="C543" s="65">
        <v>1000</v>
      </c>
      <c r="D543" s="65">
        <v>21.82</v>
      </c>
      <c r="E543" s="8">
        <f t="shared" si="38"/>
        <v>45.829514207149401</v>
      </c>
      <c r="F543" s="83"/>
    </row>
    <row r="544" spans="1:6" ht="15.75" thickBot="1">
      <c r="A544" s="63" t="s">
        <v>147</v>
      </c>
      <c r="B544" s="64" t="s">
        <v>154</v>
      </c>
      <c r="C544" s="65">
        <v>2000</v>
      </c>
      <c r="D544" s="65">
        <v>14.452</v>
      </c>
      <c r="E544" s="8">
        <f t="shared" si="38"/>
        <v>138.38915029061721</v>
      </c>
      <c r="F544" s="83"/>
    </row>
    <row r="545" spans="1:6" ht="15.75" thickBot="1">
      <c r="A545" s="63" t="s">
        <v>23</v>
      </c>
      <c r="B545" s="64" t="s">
        <v>144</v>
      </c>
      <c r="C545" s="65">
        <v>1000</v>
      </c>
      <c r="D545" s="65">
        <v>16.777999999999999</v>
      </c>
      <c r="E545" s="8">
        <f t="shared" si="38"/>
        <v>59.601859578018839</v>
      </c>
      <c r="F545" s="83"/>
    </row>
    <row r="546" spans="1:6" ht="15.75" thickBot="1">
      <c r="A546" s="63" t="s">
        <v>21</v>
      </c>
      <c r="B546" s="64" t="s">
        <v>143</v>
      </c>
      <c r="C546" s="65">
        <v>1000</v>
      </c>
      <c r="D546" s="65">
        <v>9.6039999999999992</v>
      </c>
      <c r="E546" s="8">
        <f t="shared" si="38"/>
        <v>104.12328196584757</v>
      </c>
      <c r="F546" s="83"/>
    </row>
    <row r="547" spans="1:6" ht="15.75" thickBot="1">
      <c r="A547" s="63" t="s">
        <v>13</v>
      </c>
      <c r="B547" s="64" t="s">
        <v>138</v>
      </c>
      <c r="C547" s="65">
        <v>1000</v>
      </c>
      <c r="D547" s="65">
        <v>11.01</v>
      </c>
      <c r="E547" s="8">
        <f t="shared" si="38"/>
        <v>90.826521344232518</v>
      </c>
      <c r="F547" s="83"/>
    </row>
    <row r="548" spans="1:6" ht="15.75" thickBot="1">
      <c r="A548" s="63" t="s">
        <v>15</v>
      </c>
      <c r="B548" s="64" t="s">
        <v>139</v>
      </c>
      <c r="C548" s="65">
        <v>1000</v>
      </c>
      <c r="D548" s="65">
        <v>5.9269999999999996</v>
      </c>
      <c r="E548" s="8">
        <f t="shared" si="38"/>
        <v>168.71941960519658</v>
      </c>
      <c r="F548" s="83"/>
    </row>
    <row r="549" spans="1:6" ht="15.75" thickBot="1">
      <c r="A549" s="63" t="s">
        <v>17</v>
      </c>
      <c r="B549" s="64" t="s">
        <v>140</v>
      </c>
      <c r="C549" s="65">
        <v>1000</v>
      </c>
      <c r="D549" s="65">
        <v>9.1820000000000004</v>
      </c>
      <c r="E549" s="8">
        <f t="shared" si="38"/>
        <v>108.90873448050533</v>
      </c>
      <c r="F549" s="83"/>
    </row>
    <row r="550" spans="1:6" ht="15.75" thickBot="1">
      <c r="A550" s="63" t="s">
        <v>19</v>
      </c>
      <c r="B550" s="64" t="s">
        <v>141</v>
      </c>
      <c r="C550" s="65">
        <v>1000</v>
      </c>
      <c r="D550" s="65">
        <v>11.598000000000001</v>
      </c>
      <c r="E550" s="8">
        <f t="shared" si="38"/>
        <v>86.221762372822894</v>
      </c>
      <c r="F550" s="83"/>
    </row>
    <row r="551" spans="1:6" ht="15.75" thickBot="1">
      <c r="A551" s="63" t="s">
        <v>37</v>
      </c>
      <c r="B551" s="64" t="s">
        <v>38</v>
      </c>
      <c r="C551" s="65">
        <v>1000</v>
      </c>
      <c r="D551" s="65">
        <v>11.170999999999999</v>
      </c>
      <c r="E551" s="8">
        <f t="shared" si="38"/>
        <v>89.517500671381256</v>
      </c>
      <c r="F551" s="83"/>
    </row>
    <row r="552" spans="1:6" ht="15.75" thickBot="1">
      <c r="A552" s="63" t="s">
        <v>40</v>
      </c>
      <c r="B552" s="64" t="s">
        <v>146</v>
      </c>
      <c r="C552" s="65">
        <v>1000</v>
      </c>
      <c r="D552" s="65">
        <v>6.0389999999999997</v>
      </c>
      <c r="E552" s="8">
        <f t="shared" si="38"/>
        <v>165.59032952475576</v>
      </c>
      <c r="F552" s="83"/>
    </row>
    <row r="553" spans="1:6" ht="15.75" thickBot="1">
      <c r="A553" s="63" t="s">
        <v>41</v>
      </c>
      <c r="B553" s="64" t="s">
        <v>137</v>
      </c>
      <c r="C553" s="65">
        <v>1000</v>
      </c>
      <c r="D553" s="65">
        <v>6.0149999999999997</v>
      </c>
      <c r="E553" s="8">
        <f t="shared" si="38"/>
        <v>166.2510390689942</v>
      </c>
      <c r="F553" s="83"/>
    </row>
    <row r="554" spans="1:6" ht="15.75" thickBot="1">
      <c r="A554" s="63" t="s">
        <v>42</v>
      </c>
      <c r="B554" s="64" t="s">
        <v>142</v>
      </c>
      <c r="C554" s="65">
        <v>1000</v>
      </c>
      <c r="D554" s="65">
        <v>3.9609999999999999</v>
      </c>
      <c r="E554" s="8">
        <f t="shared" si="38"/>
        <v>252.46149962130775</v>
      </c>
      <c r="F554" s="83"/>
    </row>
    <row r="556" spans="1:6" ht="15.75" thickBot="1"/>
    <row r="557" spans="1:6" ht="30.75" thickBot="1">
      <c r="A557" s="61" t="s">
        <v>176</v>
      </c>
      <c r="B557" s="62" t="s">
        <v>6</v>
      </c>
      <c r="C557" s="62" t="s">
        <v>7</v>
      </c>
      <c r="D557" s="62" t="s">
        <v>8</v>
      </c>
      <c r="E557" s="81" t="s">
        <v>9</v>
      </c>
      <c r="F557" s="61" t="s">
        <v>134</v>
      </c>
    </row>
    <row r="558" spans="1:6" ht="15.75" thickBot="1">
      <c r="A558" s="63" t="s">
        <v>85</v>
      </c>
      <c r="B558" s="64" t="s">
        <v>136</v>
      </c>
      <c r="C558" s="65">
        <v>1000</v>
      </c>
      <c r="D558" s="65">
        <v>21.555</v>
      </c>
      <c r="E558" s="8">
        <f t="shared" ref="E558:E577" si="39">C558/D558</f>
        <v>46.392948271862679</v>
      </c>
      <c r="F558" s="83"/>
    </row>
    <row r="559" spans="1:6" ht="15.75" thickBot="1">
      <c r="A559" s="63" t="s">
        <v>147</v>
      </c>
      <c r="B559" s="64" t="s">
        <v>154</v>
      </c>
      <c r="C559" s="65">
        <v>2000</v>
      </c>
      <c r="D559" s="65">
        <v>14.15</v>
      </c>
      <c r="E559" s="8">
        <f t="shared" si="39"/>
        <v>141.34275618374559</v>
      </c>
      <c r="F559" s="83"/>
    </row>
    <row r="560" spans="1:6" ht="15.75" thickBot="1">
      <c r="A560" s="63" t="s">
        <v>87</v>
      </c>
      <c r="B560" s="64" t="s">
        <v>153</v>
      </c>
      <c r="C560" s="65">
        <v>1000</v>
      </c>
      <c r="D560" s="65">
        <v>12.052</v>
      </c>
      <c r="E560" s="8">
        <f t="shared" si="39"/>
        <v>82.973780285429811</v>
      </c>
      <c r="F560" s="83"/>
    </row>
    <row r="561" spans="1:6" ht="15.75" thickBot="1">
      <c r="A561" s="63" t="s">
        <v>89</v>
      </c>
      <c r="B561" s="64" t="s">
        <v>177</v>
      </c>
      <c r="C561" s="65">
        <v>1000</v>
      </c>
      <c r="D561" s="65">
        <v>63.287999999999997</v>
      </c>
      <c r="E561" s="8">
        <f t="shared" si="39"/>
        <v>15.800783718872458</v>
      </c>
      <c r="F561" s="83"/>
    </row>
    <row r="562" spans="1:6" ht="15.75" thickBot="1">
      <c r="A562" s="63" t="s">
        <v>91</v>
      </c>
      <c r="B562" s="64" t="s">
        <v>152</v>
      </c>
      <c r="C562" s="65">
        <v>1000</v>
      </c>
      <c r="D562" s="65">
        <v>22.876999999999999</v>
      </c>
      <c r="E562" s="8">
        <f t="shared" si="39"/>
        <v>43.712025178126503</v>
      </c>
      <c r="F562" s="83"/>
    </row>
    <row r="563" spans="1:6" ht="15.75" thickBot="1">
      <c r="A563" s="63" t="s">
        <v>93</v>
      </c>
      <c r="B563" s="64" t="s">
        <v>94</v>
      </c>
      <c r="C563" s="65">
        <v>1000</v>
      </c>
      <c r="D563" s="65">
        <v>38.621000000000002</v>
      </c>
      <c r="E563" s="8">
        <f t="shared" si="39"/>
        <v>25.892649076927057</v>
      </c>
      <c r="F563" s="83"/>
    </row>
    <row r="564" spans="1:6" ht="15.75" thickBot="1">
      <c r="A564" s="63" t="s">
        <v>95</v>
      </c>
      <c r="B564" s="64" t="s">
        <v>150</v>
      </c>
      <c r="C564" s="65">
        <v>1000</v>
      </c>
      <c r="D564" s="65">
        <v>24.936</v>
      </c>
      <c r="E564" s="8">
        <f t="shared" si="39"/>
        <v>40.102662816811034</v>
      </c>
      <c r="F564" s="83"/>
    </row>
    <row r="565" spans="1:6" ht="15.75" thickBot="1">
      <c r="A565" s="63" t="s">
        <v>11</v>
      </c>
      <c r="B565" s="64" t="s">
        <v>145</v>
      </c>
      <c r="C565" s="65">
        <v>1000</v>
      </c>
      <c r="D565" s="65">
        <v>8.8930000000000007</v>
      </c>
      <c r="E565" s="8">
        <f t="shared" si="39"/>
        <v>112.44799280332845</v>
      </c>
      <c r="F565" s="83"/>
    </row>
    <row r="566" spans="1:6" ht="15.75" thickBot="1">
      <c r="A566" s="63" t="s">
        <v>97</v>
      </c>
      <c r="B566" s="64" t="s">
        <v>148</v>
      </c>
      <c r="C566" s="65">
        <v>1000</v>
      </c>
      <c r="D566" s="65">
        <v>13.044</v>
      </c>
      <c r="E566" s="8">
        <f t="shared" si="39"/>
        <v>76.663600122661762</v>
      </c>
      <c r="F566" s="83"/>
    </row>
    <row r="567" spans="1:6" ht="15.75" thickBot="1">
      <c r="A567" s="63" t="s">
        <v>99</v>
      </c>
      <c r="B567" s="64" t="s">
        <v>149</v>
      </c>
      <c r="C567" s="65">
        <v>1000</v>
      </c>
      <c r="D567" s="65">
        <v>21.637</v>
      </c>
      <c r="E567" s="8">
        <f t="shared" si="39"/>
        <v>46.217128067661875</v>
      </c>
      <c r="F567" s="83"/>
    </row>
    <row r="568" spans="1:6" ht="15.75" thickBot="1">
      <c r="A568" s="63" t="s">
        <v>21</v>
      </c>
      <c r="B568" s="64" t="s">
        <v>178</v>
      </c>
      <c r="C568" s="65">
        <v>1000</v>
      </c>
      <c r="D568" s="65">
        <v>16.425000000000001</v>
      </c>
      <c r="E568" s="8">
        <f t="shared" si="39"/>
        <v>60.882800608828006</v>
      </c>
      <c r="F568" s="83"/>
    </row>
    <row r="569" spans="1:6" ht="15.75" thickBot="1">
      <c r="A569" s="63" t="s">
        <v>23</v>
      </c>
      <c r="B569" s="64" t="s">
        <v>144</v>
      </c>
      <c r="C569" s="65">
        <v>1000</v>
      </c>
      <c r="D569" s="65">
        <v>9.3719999999999999</v>
      </c>
      <c r="E569" s="8">
        <f t="shared" si="39"/>
        <v>106.70081092616304</v>
      </c>
      <c r="F569" s="83"/>
    </row>
    <row r="570" spans="1:6" ht="15.75" thickBot="1">
      <c r="A570" s="63" t="s">
        <v>15</v>
      </c>
      <c r="B570" s="64" t="s">
        <v>179</v>
      </c>
      <c r="C570" s="65">
        <v>1000</v>
      </c>
      <c r="D570" s="65">
        <v>10.78</v>
      </c>
      <c r="E570" s="8">
        <f t="shared" si="39"/>
        <v>92.764378478664199</v>
      </c>
      <c r="F570" s="83"/>
    </row>
    <row r="571" spans="1:6" ht="15.75" thickBot="1">
      <c r="A571" s="63" t="s">
        <v>13</v>
      </c>
      <c r="B571" s="64" t="s">
        <v>138</v>
      </c>
      <c r="C571" s="65">
        <v>1000</v>
      </c>
      <c r="D571" s="65">
        <v>5.758</v>
      </c>
      <c r="E571" s="8">
        <f t="shared" si="39"/>
        <v>173.67141368530739</v>
      </c>
      <c r="F571" s="83"/>
    </row>
    <row r="572" spans="1:6" ht="15.75" thickBot="1">
      <c r="A572" s="63" t="s">
        <v>19</v>
      </c>
      <c r="B572" s="64" t="s">
        <v>180</v>
      </c>
      <c r="C572" s="65">
        <v>1000</v>
      </c>
      <c r="D572" s="65">
        <v>9.0310000000000006</v>
      </c>
      <c r="E572" s="8">
        <f t="shared" si="39"/>
        <v>110.72970878086591</v>
      </c>
      <c r="F572" s="83"/>
    </row>
    <row r="573" spans="1:6" ht="15.75" thickBot="1">
      <c r="A573" s="63" t="s">
        <v>17</v>
      </c>
      <c r="B573" s="64" t="s">
        <v>140</v>
      </c>
      <c r="C573" s="65">
        <v>1000</v>
      </c>
      <c r="D573" s="65">
        <v>11.257</v>
      </c>
      <c r="E573" s="8">
        <f t="shared" si="39"/>
        <v>88.833614639779697</v>
      </c>
      <c r="F573" s="83"/>
    </row>
    <row r="574" spans="1:6" ht="15.75" thickBot="1">
      <c r="A574" s="63" t="s">
        <v>40</v>
      </c>
      <c r="B574" s="64" t="s">
        <v>146</v>
      </c>
      <c r="C574" s="65">
        <v>1000</v>
      </c>
      <c r="D574" s="65">
        <v>10.907</v>
      </c>
      <c r="E574" s="8">
        <f t="shared" si="39"/>
        <v>91.684239479233526</v>
      </c>
      <c r="F574" s="83"/>
    </row>
    <row r="575" spans="1:6" ht="15.75" thickBot="1">
      <c r="A575" s="63" t="s">
        <v>37</v>
      </c>
      <c r="B575" s="64" t="s">
        <v>38</v>
      </c>
      <c r="C575" s="65">
        <v>1000</v>
      </c>
      <c r="D575" s="65">
        <v>5.8929999999999998</v>
      </c>
      <c r="E575" s="8">
        <f t="shared" si="39"/>
        <v>169.69285593076532</v>
      </c>
      <c r="F575" s="83"/>
    </row>
    <row r="576" spans="1:6" ht="15.75" thickBot="1">
      <c r="A576" s="63" t="s">
        <v>41</v>
      </c>
      <c r="B576" s="64" t="s">
        <v>181</v>
      </c>
      <c r="C576" s="65">
        <v>1000</v>
      </c>
      <c r="D576" s="65">
        <v>5.8739999999999997</v>
      </c>
      <c r="E576" s="8">
        <f t="shared" si="39"/>
        <v>170.24174327545114</v>
      </c>
      <c r="F576" s="83"/>
    </row>
    <row r="577" spans="1:6" ht="15.75" thickBot="1">
      <c r="A577" s="63" t="s">
        <v>42</v>
      </c>
      <c r="B577" s="64" t="s">
        <v>142</v>
      </c>
      <c r="C577" s="65">
        <v>1000</v>
      </c>
      <c r="D577" s="65">
        <v>3.8959999999999999</v>
      </c>
      <c r="E577" s="8">
        <f t="shared" si="39"/>
        <v>256.67351129363448</v>
      </c>
      <c r="F577" s="83"/>
    </row>
    <row r="579" spans="1:6" ht="15.75" thickBot="1"/>
    <row r="580" spans="1:6" ht="30.75" thickBot="1">
      <c r="A580" s="61" t="s">
        <v>182</v>
      </c>
      <c r="B580" s="62" t="s">
        <v>6</v>
      </c>
      <c r="C580" s="62" t="s">
        <v>7</v>
      </c>
      <c r="D580" s="62" t="s">
        <v>8</v>
      </c>
      <c r="E580" s="81" t="s">
        <v>9</v>
      </c>
      <c r="F580" s="61" t="s">
        <v>134</v>
      </c>
    </row>
    <row r="581" spans="1:6" ht="15.75" thickBot="1">
      <c r="A581" s="63" t="s">
        <v>85</v>
      </c>
      <c r="B581" s="64" t="s">
        <v>136</v>
      </c>
      <c r="C581" s="65">
        <v>1000</v>
      </c>
      <c r="D581" s="65">
        <v>21.625</v>
      </c>
      <c r="E581" s="8">
        <f t="shared" ref="E581:E600" si="40">C581/D581</f>
        <v>46.24277456647399</v>
      </c>
      <c r="F581" s="83"/>
    </row>
    <row r="582" spans="1:6" ht="15.75" thickBot="1">
      <c r="A582" s="63" t="s">
        <v>87</v>
      </c>
      <c r="B582" s="64" t="s">
        <v>153</v>
      </c>
      <c r="C582" s="65">
        <v>1000</v>
      </c>
      <c r="D582" s="65">
        <v>11.866</v>
      </c>
      <c r="E582" s="8">
        <f t="shared" si="40"/>
        <v>84.274397438058315</v>
      </c>
      <c r="F582" s="83"/>
    </row>
    <row r="583" spans="1:6" ht="15.75" thickBot="1">
      <c r="A583" s="63" t="s">
        <v>89</v>
      </c>
      <c r="B583" s="64" t="s">
        <v>151</v>
      </c>
      <c r="C583" s="65">
        <v>1000</v>
      </c>
      <c r="D583" s="65">
        <v>62.031999999999996</v>
      </c>
      <c r="E583" s="8">
        <f t="shared" si="40"/>
        <v>16.120711890637093</v>
      </c>
      <c r="F583" s="83"/>
    </row>
    <row r="584" spans="1:6" ht="15.75" thickBot="1">
      <c r="A584" s="63" t="s">
        <v>91</v>
      </c>
      <c r="B584" s="64" t="s">
        <v>152</v>
      </c>
      <c r="C584" s="65">
        <v>1000</v>
      </c>
      <c r="D584" s="65">
        <v>22.834</v>
      </c>
      <c r="E584" s="8">
        <f t="shared" si="40"/>
        <v>43.794341771043179</v>
      </c>
      <c r="F584" s="83"/>
    </row>
    <row r="585" spans="1:6" ht="15.75" thickBot="1">
      <c r="A585" s="63" t="s">
        <v>93</v>
      </c>
      <c r="B585" s="64" t="s">
        <v>94</v>
      </c>
      <c r="C585" s="65">
        <v>1000</v>
      </c>
      <c r="D585" s="65">
        <v>38.814</v>
      </c>
      <c r="E585" s="8">
        <f t="shared" si="40"/>
        <v>25.763899623847067</v>
      </c>
      <c r="F585" s="83"/>
    </row>
    <row r="586" spans="1:6" ht="15.75" thickBot="1">
      <c r="A586" s="63" t="s">
        <v>95</v>
      </c>
      <c r="B586" s="64" t="s">
        <v>150</v>
      </c>
      <c r="C586" s="65">
        <v>1000</v>
      </c>
      <c r="D586" s="65">
        <v>25.2</v>
      </c>
      <c r="E586" s="8">
        <f t="shared" si="40"/>
        <v>39.682539682539684</v>
      </c>
      <c r="F586" s="83"/>
    </row>
    <row r="587" spans="1:6" ht="15.75" thickBot="1">
      <c r="A587" s="63" t="s">
        <v>11</v>
      </c>
      <c r="B587" s="64" t="s">
        <v>145</v>
      </c>
      <c r="C587" s="65">
        <v>1000</v>
      </c>
      <c r="D587" s="65">
        <v>8.82</v>
      </c>
      <c r="E587" s="8">
        <f t="shared" si="40"/>
        <v>113.37868480725623</v>
      </c>
      <c r="F587" s="83"/>
    </row>
    <row r="588" spans="1:6" ht="15.75" thickBot="1">
      <c r="A588" s="63" t="s">
        <v>97</v>
      </c>
      <c r="B588" s="64" t="s">
        <v>148</v>
      </c>
      <c r="C588" s="65">
        <v>1000</v>
      </c>
      <c r="D588" s="65">
        <v>12.9</v>
      </c>
      <c r="E588" s="8">
        <f t="shared" si="40"/>
        <v>77.519379844961236</v>
      </c>
      <c r="F588" s="83"/>
    </row>
    <row r="589" spans="1:6" ht="15.75" thickBot="1">
      <c r="A589" s="63" t="s">
        <v>99</v>
      </c>
      <c r="B589" s="64" t="s">
        <v>149</v>
      </c>
      <c r="C589" s="65">
        <v>1000</v>
      </c>
      <c r="D589" s="65">
        <v>21.463999999999999</v>
      </c>
      <c r="E589" s="8">
        <f t="shared" si="40"/>
        <v>46.589638464405517</v>
      </c>
      <c r="F589" s="83"/>
    </row>
    <row r="590" spans="1:6" ht="15.75" thickBot="1">
      <c r="A590" s="63" t="s">
        <v>147</v>
      </c>
      <c r="B590" s="64" t="s">
        <v>154</v>
      </c>
      <c r="C590" s="65">
        <v>2000</v>
      </c>
      <c r="D590" s="65">
        <v>14.14</v>
      </c>
      <c r="E590" s="8">
        <f t="shared" si="40"/>
        <v>141.44271570014143</v>
      </c>
      <c r="F590" s="83"/>
    </row>
    <row r="591" spans="1:6" ht="15.75" thickBot="1">
      <c r="A591" s="63" t="s">
        <v>23</v>
      </c>
      <c r="B591" s="64" t="s">
        <v>144</v>
      </c>
      <c r="C591" s="65">
        <v>1000</v>
      </c>
      <c r="D591" s="65">
        <v>16.347000000000001</v>
      </c>
      <c r="E591" s="8">
        <f t="shared" si="40"/>
        <v>61.173303970147423</v>
      </c>
      <c r="F591" s="83"/>
    </row>
    <row r="592" spans="1:6" ht="15.75" thickBot="1">
      <c r="A592" s="63" t="s">
        <v>21</v>
      </c>
      <c r="B592" s="64" t="s">
        <v>143</v>
      </c>
      <c r="C592" s="65">
        <v>1000</v>
      </c>
      <c r="D592" s="65">
        <v>9.4369999999999994</v>
      </c>
      <c r="E592" s="8">
        <f t="shared" si="40"/>
        <v>105.9658789869662</v>
      </c>
      <c r="F592" s="83"/>
    </row>
    <row r="593" spans="1:6" ht="15.75" thickBot="1">
      <c r="A593" s="63" t="s">
        <v>13</v>
      </c>
      <c r="B593" s="64" t="s">
        <v>138</v>
      </c>
      <c r="C593" s="65">
        <v>1000</v>
      </c>
      <c r="D593" s="65">
        <v>10.757</v>
      </c>
      <c r="E593" s="8">
        <f t="shared" si="40"/>
        <v>92.962721948498654</v>
      </c>
      <c r="F593" s="83"/>
    </row>
    <row r="594" spans="1:6" ht="15.75" thickBot="1">
      <c r="A594" s="63" t="s">
        <v>15</v>
      </c>
      <c r="B594" s="64" t="s">
        <v>139</v>
      </c>
      <c r="C594" s="65">
        <v>1000</v>
      </c>
      <c r="D594" s="65">
        <v>5.8940000000000001</v>
      </c>
      <c r="E594" s="8">
        <f t="shared" si="40"/>
        <v>169.66406515100101</v>
      </c>
      <c r="F594" s="83"/>
    </row>
    <row r="595" spans="1:6" ht="15.75" thickBot="1">
      <c r="A595" s="63" t="s">
        <v>17</v>
      </c>
      <c r="B595" s="64" t="s">
        <v>140</v>
      </c>
      <c r="C595" s="65">
        <v>1000</v>
      </c>
      <c r="D595" s="65">
        <v>8.9510000000000005</v>
      </c>
      <c r="E595" s="8">
        <f t="shared" si="40"/>
        <v>111.71936096525528</v>
      </c>
      <c r="F595" s="83"/>
    </row>
    <row r="596" spans="1:6" ht="15.75" thickBot="1">
      <c r="A596" s="63" t="s">
        <v>19</v>
      </c>
      <c r="B596" s="64" t="s">
        <v>141</v>
      </c>
      <c r="C596" s="65">
        <v>1000</v>
      </c>
      <c r="D596" s="65">
        <v>11.471</v>
      </c>
      <c r="E596" s="8">
        <f t="shared" si="40"/>
        <v>87.176357771772288</v>
      </c>
      <c r="F596" s="83"/>
    </row>
    <row r="597" spans="1:6" ht="15.75" thickBot="1">
      <c r="A597" s="63" t="s">
        <v>37</v>
      </c>
      <c r="B597" s="64" t="s">
        <v>38</v>
      </c>
      <c r="C597" s="65">
        <v>1000</v>
      </c>
      <c r="D597" s="65">
        <v>10.855</v>
      </c>
      <c r="E597" s="8">
        <f t="shared" si="40"/>
        <v>92.123445416858587</v>
      </c>
      <c r="F597" s="83"/>
    </row>
    <row r="598" spans="1:6" ht="15.75" thickBot="1">
      <c r="A598" s="63" t="s">
        <v>40</v>
      </c>
      <c r="B598" s="64" t="s">
        <v>146</v>
      </c>
      <c r="C598" s="65">
        <v>1000</v>
      </c>
      <c r="D598" s="65">
        <v>5.94</v>
      </c>
      <c r="E598" s="8">
        <f t="shared" si="40"/>
        <v>168.35016835016833</v>
      </c>
      <c r="F598" s="83"/>
    </row>
    <row r="599" spans="1:6" ht="15.75" thickBot="1">
      <c r="A599" s="63" t="s">
        <v>41</v>
      </c>
      <c r="B599" s="64" t="s">
        <v>137</v>
      </c>
      <c r="C599" s="65">
        <v>1000</v>
      </c>
      <c r="D599" s="65">
        <v>5.9809999999999999</v>
      </c>
      <c r="E599" s="8">
        <f t="shared" si="40"/>
        <v>167.19612104999163</v>
      </c>
      <c r="F599" s="83"/>
    </row>
    <row r="600" spans="1:6" ht="15.75" thickBot="1">
      <c r="A600" s="63" t="s">
        <v>42</v>
      </c>
      <c r="B600" s="64" t="s">
        <v>142</v>
      </c>
      <c r="C600" s="65">
        <v>1000</v>
      </c>
      <c r="D600" s="65">
        <v>3.879</v>
      </c>
      <c r="E600" s="8">
        <f t="shared" si="40"/>
        <v>257.79840164990975</v>
      </c>
      <c r="F600" s="83"/>
    </row>
    <row r="602" spans="1:6" ht="15.75" thickBot="1"/>
    <row r="603" spans="1:6" ht="30.75" thickBot="1">
      <c r="A603" s="61" t="s">
        <v>183</v>
      </c>
      <c r="B603" s="62" t="s">
        <v>6</v>
      </c>
      <c r="C603" s="62" t="s">
        <v>7</v>
      </c>
      <c r="D603" s="62" t="s">
        <v>8</v>
      </c>
      <c r="E603" s="81" t="s">
        <v>9</v>
      </c>
      <c r="F603" s="61" t="s">
        <v>134</v>
      </c>
    </row>
    <row r="604" spans="1:6" ht="15.75" thickBot="1">
      <c r="A604" s="63" t="s">
        <v>85</v>
      </c>
      <c r="B604" s="64" t="s">
        <v>136</v>
      </c>
      <c r="C604" s="65">
        <v>1000</v>
      </c>
      <c r="D604" s="65">
        <v>21.449000000000002</v>
      </c>
      <c r="E604" s="8">
        <f t="shared" ref="E604:E623" si="41">C604/D604</f>
        <v>46.622220150123546</v>
      </c>
      <c r="F604" s="83"/>
    </row>
    <row r="605" spans="1:6" ht="15.75" thickBot="1">
      <c r="A605" s="63" t="s">
        <v>87</v>
      </c>
      <c r="B605" s="64" t="s">
        <v>153</v>
      </c>
      <c r="C605" s="65">
        <v>1000</v>
      </c>
      <c r="D605" s="65">
        <v>11.749000000000001</v>
      </c>
      <c r="E605" s="8">
        <f t="shared" si="41"/>
        <v>85.113626691633328</v>
      </c>
      <c r="F605" s="83"/>
    </row>
    <row r="606" spans="1:6" ht="15.75" thickBot="1">
      <c r="A606" s="63" t="s">
        <v>89</v>
      </c>
      <c r="B606" s="64" t="s">
        <v>151</v>
      </c>
      <c r="C606" s="65">
        <v>1000</v>
      </c>
      <c r="D606" s="65">
        <v>60.972999999999999</v>
      </c>
      <c r="E606" s="8">
        <f t="shared" si="41"/>
        <v>16.400701950043462</v>
      </c>
      <c r="F606" s="83"/>
    </row>
    <row r="607" spans="1:6" ht="15.75" thickBot="1">
      <c r="A607" s="63" t="s">
        <v>91</v>
      </c>
      <c r="B607" s="64" t="s">
        <v>152</v>
      </c>
      <c r="C607" s="65">
        <v>1000</v>
      </c>
      <c r="D607" s="65">
        <v>22.742999999999999</v>
      </c>
      <c r="E607" s="8">
        <f t="shared" si="41"/>
        <v>43.969573055445636</v>
      </c>
      <c r="F607" s="83"/>
    </row>
    <row r="608" spans="1:6" ht="15.75" thickBot="1">
      <c r="A608" s="63" t="s">
        <v>93</v>
      </c>
      <c r="B608" s="64" t="s">
        <v>94</v>
      </c>
      <c r="C608" s="65">
        <v>1000</v>
      </c>
      <c r="D608" s="65">
        <v>38.374000000000002</v>
      </c>
      <c r="E608" s="8">
        <f t="shared" si="41"/>
        <v>26.059310991817373</v>
      </c>
      <c r="F608" s="83"/>
    </row>
    <row r="609" spans="1:6" ht="15.75" thickBot="1">
      <c r="A609" s="63" t="s">
        <v>95</v>
      </c>
      <c r="B609" s="64" t="s">
        <v>150</v>
      </c>
      <c r="C609" s="65">
        <v>1000</v>
      </c>
      <c r="D609" s="65">
        <v>25.882000000000001</v>
      </c>
      <c r="E609" s="8">
        <f t="shared" si="41"/>
        <v>38.636890503052314</v>
      </c>
      <c r="F609" s="83"/>
    </row>
    <row r="610" spans="1:6" ht="15.75" thickBot="1">
      <c r="A610" s="63" t="s">
        <v>11</v>
      </c>
      <c r="B610" s="64" t="s">
        <v>145</v>
      </c>
      <c r="C610" s="65">
        <v>1000</v>
      </c>
      <c r="D610" s="65">
        <v>8.6769999999999996</v>
      </c>
      <c r="E610" s="8">
        <f t="shared" si="41"/>
        <v>115.24720525527256</v>
      </c>
      <c r="F610" s="83"/>
    </row>
    <row r="611" spans="1:6" ht="15.75" thickBot="1">
      <c r="A611" s="63" t="s">
        <v>97</v>
      </c>
      <c r="B611" s="64" t="s">
        <v>148</v>
      </c>
      <c r="C611" s="65">
        <v>1000</v>
      </c>
      <c r="D611" s="65">
        <v>12.641</v>
      </c>
      <c r="E611" s="8">
        <f t="shared" si="41"/>
        <v>79.107665532790122</v>
      </c>
      <c r="F611" s="83"/>
    </row>
    <row r="612" spans="1:6" ht="15.75" thickBot="1">
      <c r="A612" s="63" t="s">
        <v>99</v>
      </c>
      <c r="B612" s="64" t="s">
        <v>149</v>
      </c>
      <c r="C612" s="65">
        <v>1000</v>
      </c>
      <c r="D612" s="65">
        <v>21.036000000000001</v>
      </c>
      <c r="E612" s="8">
        <f t="shared" si="41"/>
        <v>47.537554668187866</v>
      </c>
      <c r="F612" s="83"/>
    </row>
    <row r="613" spans="1:6" ht="15.75" thickBot="1">
      <c r="A613" s="63" t="s">
        <v>147</v>
      </c>
      <c r="B613" s="64" t="s">
        <v>154</v>
      </c>
      <c r="C613" s="65">
        <v>2000</v>
      </c>
      <c r="D613" s="65">
        <v>14.048999999999999</v>
      </c>
      <c r="E613" s="8">
        <f t="shared" si="41"/>
        <v>142.3588867535056</v>
      </c>
      <c r="F613" s="83"/>
    </row>
    <row r="614" spans="1:6" ht="15.75" thickBot="1">
      <c r="A614" s="63" t="s">
        <v>23</v>
      </c>
      <c r="B614" s="64" t="s">
        <v>144</v>
      </c>
      <c r="C614" s="65">
        <v>1000</v>
      </c>
      <c r="D614" s="65">
        <v>16.196000000000002</v>
      </c>
      <c r="E614" s="8">
        <f t="shared" si="41"/>
        <v>61.743640405038278</v>
      </c>
      <c r="F614" s="83"/>
    </row>
    <row r="615" spans="1:6" ht="15.75" thickBot="1">
      <c r="A615" s="63" t="s">
        <v>21</v>
      </c>
      <c r="B615" s="64" t="s">
        <v>143</v>
      </c>
      <c r="C615" s="65">
        <v>1000</v>
      </c>
      <c r="D615" s="65">
        <v>9.33</v>
      </c>
      <c r="E615" s="8">
        <f t="shared" si="41"/>
        <v>107.18113612004286</v>
      </c>
      <c r="F615" s="83"/>
    </row>
    <row r="616" spans="1:6" ht="15.75" thickBot="1">
      <c r="A616" s="63" t="s">
        <v>13</v>
      </c>
      <c r="B616" s="64" t="s">
        <v>138</v>
      </c>
      <c r="C616" s="65">
        <v>1000</v>
      </c>
      <c r="D616" s="65">
        <v>10.573</v>
      </c>
      <c r="E616" s="8">
        <f t="shared" si="41"/>
        <v>94.580535325829942</v>
      </c>
      <c r="F616" s="83"/>
    </row>
    <row r="617" spans="1:6" ht="15.75" thickBot="1">
      <c r="A617" s="63" t="s">
        <v>15</v>
      </c>
      <c r="B617" s="64" t="s">
        <v>139</v>
      </c>
      <c r="C617" s="65">
        <v>1000</v>
      </c>
      <c r="D617" s="65">
        <v>5.84</v>
      </c>
      <c r="E617" s="8">
        <f t="shared" si="41"/>
        <v>171.23287671232876</v>
      </c>
      <c r="F617" s="83"/>
    </row>
    <row r="618" spans="1:6" ht="15.75" thickBot="1">
      <c r="A618" s="63" t="s">
        <v>17</v>
      </c>
      <c r="B618" s="64" t="s">
        <v>140</v>
      </c>
      <c r="C618" s="65">
        <v>1000</v>
      </c>
      <c r="D618" s="65">
        <v>8.7810000000000006</v>
      </c>
      <c r="E618" s="8">
        <f t="shared" si="41"/>
        <v>113.88224575788634</v>
      </c>
      <c r="F618" s="83"/>
    </row>
    <row r="619" spans="1:6" ht="15.75" thickBot="1">
      <c r="A619" s="63" t="s">
        <v>19</v>
      </c>
      <c r="B619" s="64" t="s">
        <v>141</v>
      </c>
      <c r="C619" s="65">
        <v>1000</v>
      </c>
      <c r="D619" s="65">
        <v>11.526999999999999</v>
      </c>
      <c r="E619" s="8">
        <f t="shared" si="41"/>
        <v>86.752841155547856</v>
      </c>
      <c r="F619" s="83"/>
    </row>
    <row r="620" spans="1:6" ht="15.75" thickBot="1">
      <c r="A620" s="63" t="s">
        <v>37</v>
      </c>
      <c r="B620" s="64" t="s">
        <v>38</v>
      </c>
      <c r="C620" s="65">
        <v>1000</v>
      </c>
      <c r="D620" s="65">
        <v>10.741</v>
      </c>
      <c r="E620" s="8">
        <f t="shared" si="41"/>
        <v>93.101201005492968</v>
      </c>
      <c r="F620" s="83"/>
    </row>
    <row r="621" spans="1:6" ht="15.75" thickBot="1">
      <c r="A621" s="63" t="s">
        <v>40</v>
      </c>
      <c r="B621" s="64" t="s">
        <v>146</v>
      </c>
      <c r="C621" s="65">
        <v>1000</v>
      </c>
      <c r="D621" s="65">
        <v>5.92</v>
      </c>
      <c r="E621" s="8">
        <f t="shared" si="41"/>
        <v>168.91891891891893</v>
      </c>
      <c r="F621" s="83"/>
    </row>
    <row r="622" spans="1:6" ht="15.75" thickBot="1">
      <c r="A622" s="63" t="s">
        <v>41</v>
      </c>
      <c r="B622" s="64" t="s">
        <v>137</v>
      </c>
      <c r="C622" s="65">
        <v>1000</v>
      </c>
      <c r="D622" s="65">
        <v>5.89</v>
      </c>
      <c r="E622" s="8">
        <f t="shared" si="41"/>
        <v>169.77928692699493</v>
      </c>
      <c r="F622" s="83"/>
    </row>
    <row r="623" spans="1:6" ht="15.75" thickBot="1">
      <c r="A623" s="63" t="s">
        <v>42</v>
      </c>
      <c r="B623" s="64" t="s">
        <v>142</v>
      </c>
      <c r="C623" s="65">
        <v>1000</v>
      </c>
      <c r="D623" s="65">
        <v>3.82</v>
      </c>
      <c r="E623" s="8">
        <f t="shared" si="41"/>
        <v>261.78010471204192</v>
      </c>
      <c r="F623" s="83"/>
    </row>
    <row r="625" spans="1:6" ht="15.75" thickBot="1"/>
    <row r="626" spans="1:6" ht="30.75" thickBot="1">
      <c r="A626" s="61" t="s">
        <v>184</v>
      </c>
      <c r="B626" s="62" t="s">
        <v>6</v>
      </c>
      <c r="C626" s="62" t="s">
        <v>7</v>
      </c>
      <c r="D626" s="62" t="s">
        <v>8</v>
      </c>
      <c r="E626" s="81" t="s">
        <v>9</v>
      </c>
      <c r="F626" s="61" t="s">
        <v>134</v>
      </c>
    </row>
    <row r="627" spans="1:6" ht="15.75" thickBot="1">
      <c r="A627" s="63" t="s">
        <v>85</v>
      </c>
      <c r="B627" s="64" t="s">
        <v>136</v>
      </c>
      <c r="C627" s="65">
        <v>1000</v>
      </c>
      <c r="D627" s="65">
        <v>22.835000000000001</v>
      </c>
      <c r="E627" s="8">
        <f t="shared" ref="E627:E646" si="42">C627/D627</f>
        <v>43.792423910663452</v>
      </c>
      <c r="F627" s="83"/>
    </row>
    <row r="628" spans="1:6" ht="15.75" thickBot="1">
      <c r="A628" s="63" t="s">
        <v>87</v>
      </c>
      <c r="B628" s="64" t="s">
        <v>153</v>
      </c>
      <c r="C628" s="65">
        <v>1000</v>
      </c>
      <c r="D628" s="65">
        <v>11.596</v>
      </c>
      <c r="E628" s="8">
        <f t="shared" si="42"/>
        <v>86.236633321835114</v>
      </c>
      <c r="F628" s="83"/>
    </row>
    <row r="629" spans="1:6" ht="15.75" thickBot="1">
      <c r="A629" s="63" t="s">
        <v>89</v>
      </c>
      <c r="B629" s="64" t="s">
        <v>151</v>
      </c>
      <c r="C629" s="65">
        <v>1000</v>
      </c>
      <c r="D629" s="65">
        <v>61.497999999999998</v>
      </c>
      <c r="E629" s="8">
        <f t="shared" si="42"/>
        <v>16.260691404598525</v>
      </c>
      <c r="F629" s="83"/>
    </row>
    <row r="630" spans="1:6" ht="15.75" thickBot="1">
      <c r="A630" s="63" t="s">
        <v>91</v>
      </c>
      <c r="B630" s="64" t="s">
        <v>152</v>
      </c>
      <c r="C630" s="65">
        <v>1000</v>
      </c>
      <c r="D630" s="65">
        <v>23.529</v>
      </c>
      <c r="E630" s="8">
        <f t="shared" si="42"/>
        <v>42.500743763015855</v>
      </c>
      <c r="F630" s="83"/>
    </row>
    <row r="631" spans="1:6" ht="15.75" thickBot="1">
      <c r="A631" s="63" t="s">
        <v>93</v>
      </c>
      <c r="B631" s="64" t="s">
        <v>94</v>
      </c>
      <c r="C631" s="65">
        <v>1000</v>
      </c>
      <c r="D631" s="65">
        <v>40.039000000000001</v>
      </c>
      <c r="E631" s="8">
        <f t="shared" si="42"/>
        <v>24.975648742476086</v>
      </c>
      <c r="F631" s="83"/>
    </row>
    <row r="632" spans="1:6" ht="15.75" thickBot="1">
      <c r="A632" s="63" t="s">
        <v>95</v>
      </c>
      <c r="B632" s="64" t="s">
        <v>150</v>
      </c>
      <c r="C632" s="65">
        <v>1000</v>
      </c>
      <c r="D632" s="65">
        <v>27.817</v>
      </c>
      <c r="E632" s="8">
        <f t="shared" si="42"/>
        <v>35.949239673580905</v>
      </c>
      <c r="F632" s="83"/>
    </row>
    <row r="633" spans="1:6" ht="15.75" thickBot="1">
      <c r="A633" s="63" t="s">
        <v>11</v>
      </c>
      <c r="B633" s="64" t="s">
        <v>145</v>
      </c>
      <c r="C633" s="65">
        <v>1000</v>
      </c>
      <c r="D633" s="65">
        <v>8.5630000000000006</v>
      </c>
      <c r="E633" s="8">
        <f t="shared" si="42"/>
        <v>116.78150181011327</v>
      </c>
      <c r="F633" s="83"/>
    </row>
    <row r="634" spans="1:6" ht="15.75" thickBot="1">
      <c r="A634" s="63" t="s">
        <v>97</v>
      </c>
      <c r="B634" s="64" t="s">
        <v>148</v>
      </c>
      <c r="C634" s="65">
        <v>1000</v>
      </c>
      <c r="D634" s="65">
        <v>12.581</v>
      </c>
      <c r="E634" s="8">
        <f t="shared" si="42"/>
        <v>79.484937604323989</v>
      </c>
      <c r="F634" s="83"/>
    </row>
    <row r="635" spans="1:6" ht="15.75" thickBot="1">
      <c r="A635" s="63" t="s">
        <v>99</v>
      </c>
      <c r="B635" s="64" t="s">
        <v>149</v>
      </c>
      <c r="C635" s="65">
        <v>1000</v>
      </c>
      <c r="D635" s="65">
        <v>21.962</v>
      </c>
      <c r="E635" s="8">
        <f t="shared" si="42"/>
        <v>45.533193698205991</v>
      </c>
      <c r="F635" s="83"/>
    </row>
    <row r="636" spans="1:6" ht="15.75" thickBot="1">
      <c r="A636" s="63" t="s">
        <v>147</v>
      </c>
      <c r="B636" s="64" t="s">
        <v>154</v>
      </c>
      <c r="C636" s="65">
        <v>2000</v>
      </c>
      <c r="D636" s="65">
        <v>14.641</v>
      </c>
      <c r="E636" s="8">
        <f t="shared" si="42"/>
        <v>136.60269107301414</v>
      </c>
      <c r="F636" s="83"/>
    </row>
    <row r="637" spans="1:6" ht="15.75" thickBot="1">
      <c r="A637" s="63" t="s">
        <v>23</v>
      </c>
      <c r="B637" s="64" t="s">
        <v>144</v>
      </c>
      <c r="C637" s="65">
        <v>1000</v>
      </c>
      <c r="D637" s="65">
        <v>16.251000000000001</v>
      </c>
      <c r="E637" s="8">
        <f t="shared" si="42"/>
        <v>61.534674789243731</v>
      </c>
      <c r="F637" s="83"/>
    </row>
    <row r="638" spans="1:6" ht="15.75" thickBot="1">
      <c r="A638" s="63" t="s">
        <v>21</v>
      </c>
      <c r="B638" s="64" t="s">
        <v>143</v>
      </c>
      <c r="C638" s="65">
        <v>1000</v>
      </c>
      <c r="D638" s="65">
        <v>9.625</v>
      </c>
      <c r="E638" s="8">
        <f t="shared" si="42"/>
        <v>103.8961038961039</v>
      </c>
      <c r="F638" s="83"/>
    </row>
    <row r="639" spans="1:6" ht="15.75" thickBot="1">
      <c r="A639" s="63" t="s">
        <v>13</v>
      </c>
      <c r="B639" s="64" t="s">
        <v>138</v>
      </c>
      <c r="C639" s="65">
        <v>1000</v>
      </c>
      <c r="D639" s="65">
        <v>10.491</v>
      </c>
      <c r="E639" s="8">
        <f t="shared" si="42"/>
        <v>95.319797922028414</v>
      </c>
      <c r="F639" s="83"/>
    </row>
    <row r="640" spans="1:6" ht="15.75" thickBot="1">
      <c r="A640" s="63" t="s">
        <v>15</v>
      </c>
      <c r="B640" s="64" t="s">
        <v>139</v>
      </c>
      <c r="C640" s="65">
        <v>1000</v>
      </c>
      <c r="D640" s="65">
        <v>5.9950000000000001</v>
      </c>
      <c r="E640" s="8">
        <f t="shared" si="42"/>
        <v>166.80567139282735</v>
      </c>
      <c r="F640" s="83"/>
    </row>
    <row r="641" spans="1:6" ht="15.75" thickBot="1">
      <c r="A641" s="63" t="s">
        <v>17</v>
      </c>
      <c r="B641" s="64" t="s">
        <v>140</v>
      </c>
      <c r="C641" s="65">
        <v>1000</v>
      </c>
      <c r="D641" s="65">
        <v>8.7149999999999999</v>
      </c>
      <c r="E641" s="8">
        <f t="shared" si="42"/>
        <v>114.74469305794607</v>
      </c>
      <c r="F641" s="83"/>
    </row>
    <row r="642" spans="1:6" ht="15.75" thickBot="1">
      <c r="A642" s="63" t="s">
        <v>19</v>
      </c>
      <c r="B642" s="64" t="s">
        <v>141</v>
      </c>
      <c r="C642" s="65">
        <v>1000</v>
      </c>
      <c r="D642" s="65">
        <v>11.698</v>
      </c>
      <c r="E642" s="8">
        <f t="shared" si="42"/>
        <v>85.484698239015216</v>
      </c>
      <c r="F642" s="83"/>
    </row>
    <row r="643" spans="1:6" ht="15.75" thickBot="1">
      <c r="A643" s="63" t="s">
        <v>37</v>
      </c>
      <c r="B643" s="64" t="s">
        <v>38</v>
      </c>
      <c r="C643" s="65">
        <v>1000</v>
      </c>
      <c r="D643" s="65">
        <v>10.694000000000001</v>
      </c>
      <c r="E643" s="8">
        <f t="shared" si="42"/>
        <v>93.510379652141381</v>
      </c>
      <c r="F643" s="83"/>
    </row>
    <row r="644" spans="1:6" ht="15.75" thickBot="1">
      <c r="A644" s="63" t="s">
        <v>40</v>
      </c>
      <c r="B644" s="64" t="s">
        <v>146</v>
      </c>
      <c r="C644" s="65">
        <v>1000</v>
      </c>
      <c r="D644" s="65">
        <v>6.0890000000000004</v>
      </c>
      <c r="E644" s="8">
        <f t="shared" si="42"/>
        <v>164.23057973394646</v>
      </c>
      <c r="F644" s="83"/>
    </row>
    <row r="645" spans="1:6" ht="15.75" thickBot="1">
      <c r="A645" s="63" t="s">
        <v>41</v>
      </c>
      <c r="B645" s="64" t="s">
        <v>137</v>
      </c>
      <c r="C645" s="65">
        <v>1000</v>
      </c>
      <c r="D645" s="65">
        <v>6.133</v>
      </c>
      <c r="E645" s="8">
        <f t="shared" si="42"/>
        <v>163.05233980107616</v>
      </c>
      <c r="F645" s="83"/>
    </row>
    <row r="646" spans="1:6" ht="15.75" thickBot="1">
      <c r="A646" s="63" t="s">
        <v>42</v>
      </c>
      <c r="B646" s="64" t="s">
        <v>142</v>
      </c>
      <c r="C646" s="65">
        <v>1000</v>
      </c>
      <c r="D646" s="65">
        <v>3.9489999999999998</v>
      </c>
      <c r="E646" s="8">
        <f t="shared" si="42"/>
        <v>253.22866548493292</v>
      </c>
      <c r="F646" s="8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0"/>
  <sheetViews>
    <sheetView tabSelected="1" topLeftCell="D652" workbookViewId="0">
      <selection activeCell="J670" sqref="J670"/>
    </sheetView>
  </sheetViews>
  <sheetFormatPr defaultRowHeight="15"/>
  <cols>
    <col min="2" max="2" width="14.85546875" bestFit="1" customWidth="1"/>
    <col min="3" max="3" width="71.28515625" customWidth="1"/>
    <col min="4" max="4" width="50.5703125" bestFit="1" customWidth="1"/>
    <col min="5" max="5" width="8" bestFit="1" customWidth="1"/>
    <col min="6" max="6" width="11.7109375" bestFit="1" customWidth="1"/>
    <col min="7" max="7" width="12" bestFit="1" customWidth="1"/>
    <col min="8" max="8" width="12.85546875" bestFit="1" customWidth="1"/>
    <col min="9" max="9" width="11.140625" bestFit="1" customWidth="1"/>
    <col min="10" max="10" width="12" bestFit="1" customWidth="1"/>
  </cols>
  <sheetData>
    <row r="1" spans="1:10" ht="15.75" thickBot="1">
      <c r="A1" s="10"/>
      <c r="B1" s="17"/>
      <c r="C1" s="17" t="s">
        <v>55</v>
      </c>
      <c r="D1" s="17"/>
      <c r="E1" s="17" t="s">
        <v>56</v>
      </c>
      <c r="F1" s="17" t="s">
        <v>57</v>
      </c>
      <c r="G1" s="17" t="s">
        <v>58</v>
      </c>
      <c r="H1" s="17" t="s">
        <v>59</v>
      </c>
      <c r="I1" s="17" t="s">
        <v>60</v>
      </c>
      <c r="J1" s="17" t="s">
        <v>61</v>
      </c>
    </row>
    <row r="2" spans="1:10" ht="15.75" thickBot="1">
      <c r="A2" s="20">
        <v>1</v>
      </c>
      <c r="B2" s="7" t="s">
        <v>11</v>
      </c>
      <c r="C2" s="7" t="s">
        <v>12</v>
      </c>
      <c r="D2" s="7"/>
      <c r="E2" s="8">
        <v>117.93</v>
      </c>
      <c r="F2" s="8">
        <v>79.95</v>
      </c>
      <c r="G2" s="7"/>
      <c r="H2" s="21">
        <v>9428.5</v>
      </c>
      <c r="I2" s="8">
        <v>9000</v>
      </c>
      <c r="J2" s="8">
        <v>4.7611555560000003</v>
      </c>
    </row>
    <row r="3" spans="1:10" ht="15.75" thickBot="1">
      <c r="A3" s="20">
        <v>2</v>
      </c>
      <c r="B3" s="7" t="s">
        <v>13</v>
      </c>
      <c r="C3" s="7" t="s">
        <v>14</v>
      </c>
      <c r="D3" s="7"/>
      <c r="E3" s="8">
        <v>98.382999999999996</v>
      </c>
      <c r="F3" s="8">
        <v>110.66</v>
      </c>
      <c r="G3" s="7"/>
      <c r="H3" s="21">
        <v>10887.06</v>
      </c>
      <c r="I3" s="8">
        <v>9000</v>
      </c>
      <c r="J3" s="8">
        <v>20.967366670000001</v>
      </c>
    </row>
    <row r="4" spans="1:10" ht="15.75" thickBot="1">
      <c r="A4" s="20">
        <v>3</v>
      </c>
      <c r="B4" s="7" t="s">
        <v>15</v>
      </c>
      <c r="C4" s="7" t="s">
        <v>16</v>
      </c>
      <c r="D4" s="7"/>
      <c r="E4" s="8">
        <v>274.16000000000003</v>
      </c>
      <c r="F4" s="8">
        <v>62.99</v>
      </c>
      <c r="G4" s="7"/>
      <c r="H4" s="21">
        <v>17269.34</v>
      </c>
      <c r="I4" s="8">
        <v>15000</v>
      </c>
      <c r="J4" s="8">
        <v>15.128920000000001</v>
      </c>
    </row>
    <row r="5" spans="1:10" ht="15.75" thickBot="1">
      <c r="A5" s="20">
        <v>4</v>
      </c>
      <c r="B5" s="7" t="s">
        <v>17</v>
      </c>
      <c r="C5" s="7" t="s">
        <v>18</v>
      </c>
      <c r="D5" s="7"/>
      <c r="E5" s="8">
        <v>201.45</v>
      </c>
      <c r="F5" s="8">
        <v>52.68</v>
      </c>
      <c r="G5" s="7"/>
      <c r="H5" s="21">
        <v>10612.39</v>
      </c>
      <c r="I5" s="8">
        <v>9000</v>
      </c>
      <c r="J5" s="8">
        <v>17.915400000000002</v>
      </c>
    </row>
    <row r="6" spans="1:10" ht="15.75" thickBot="1">
      <c r="A6" s="20">
        <v>5</v>
      </c>
      <c r="B6" s="7" t="s">
        <v>19</v>
      </c>
      <c r="C6" s="7" t="s">
        <v>20</v>
      </c>
      <c r="D6" s="7"/>
      <c r="E6" s="8">
        <v>157.6</v>
      </c>
      <c r="F6" s="8">
        <v>68.13</v>
      </c>
      <c r="G6" s="7"/>
      <c r="H6" s="21">
        <v>10737.29</v>
      </c>
      <c r="I6" s="8">
        <v>9000</v>
      </c>
      <c r="J6" s="8">
        <v>19.3032</v>
      </c>
    </row>
    <row r="7" spans="1:10" ht="15.75" thickBot="1">
      <c r="A7" s="20">
        <v>6</v>
      </c>
      <c r="B7" s="7" t="s">
        <v>23</v>
      </c>
      <c r="C7" s="7" t="s">
        <v>24</v>
      </c>
      <c r="D7" s="7"/>
      <c r="E7" s="8">
        <v>279.589</v>
      </c>
      <c r="F7" s="8">
        <v>62.36</v>
      </c>
      <c r="G7" s="7"/>
      <c r="H7" s="21">
        <v>17435.169999999998</v>
      </c>
      <c r="I7" s="8">
        <v>15000</v>
      </c>
      <c r="J7" s="8">
        <v>16.23446667</v>
      </c>
    </row>
    <row r="8" spans="1:10" ht="15.75" thickBot="1">
      <c r="A8" s="20">
        <v>7</v>
      </c>
      <c r="B8" s="7" t="s">
        <v>21</v>
      </c>
      <c r="C8" s="7" t="s">
        <v>22</v>
      </c>
      <c r="D8" s="7"/>
      <c r="E8" s="8">
        <v>232.1</v>
      </c>
      <c r="F8" s="8">
        <v>45.03</v>
      </c>
      <c r="G8" s="7"/>
      <c r="H8" s="21">
        <v>10451.459999999999</v>
      </c>
      <c r="I8" s="8">
        <v>9000</v>
      </c>
      <c r="J8" s="8">
        <v>16.127366670000001</v>
      </c>
    </row>
    <row r="9" spans="1:10" ht="15.75" thickBot="1">
      <c r="A9" s="22"/>
      <c r="B9" s="23"/>
      <c r="C9" s="23"/>
      <c r="D9" s="23"/>
      <c r="E9" s="23"/>
      <c r="F9" s="23"/>
      <c r="G9" s="23"/>
      <c r="H9" s="24">
        <v>86821.21</v>
      </c>
      <c r="I9" s="25">
        <v>75000</v>
      </c>
      <c r="J9" s="25">
        <v>15.761616</v>
      </c>
    </row>
    <row r="10" spans="1:10" ht="16.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7.25" thickBot="1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5.75" thickBot="1">
      <c r="A12" s="26">
        <v>1</v>
      </c>
      <c r="B12" s="17" t="s">
        <v>11</v>
      </c>
      <c r="C12" s="17" t="s">
        <v>12</v>
      </c>
      <c r="D12" s="17"/>
      <c r="E12" s="27">
        <v>130.518</v>
      </c>
      <c r="F12" s="27">
        <v>80.099999999999994</v>
      </c>
      <c r="G12" s="17"/>
      <c r="H12" s="28">
        <v>10454.49</v>
      </c>
      <c r="I12" s="27">
        <v>10000</v>
      </c>
      <c r="J12" s="27">
        <v>4.5449200000000003</v>
      </c>
    </row>
    <row r="13" spans="1:10" ht="15.75" thickBot="1">
      <c r="A13" s="20">
        <v>2</v>
      </c>
      <c r="B13" s="7" t="s">
        <v>13</v>
      </c>
      <c r="C13" s="7" t="s">
        <v>14</v>
      </c>
      <c r="D13" s="7"/>
      <c r="E13" s="8">
        <v>106.934</v>
      </c>
      <c r="F13" s="8">
        <v>117.53</v>
      </c>
      <c r="G13" s="7"/>
      <c r="H13" s="21">
        <v>12567.95</v>
      </c>
      <c r="I13" s="8">
        <v>10000</v>
      </c>
      <c r="J13" s="8">
        <v>25.67953</v>
      </c>
    </row>
    <row r="14" spans="1:10" ht="15.75" thickBot="1">
      <c r="A14" s="20">
        <v>3</v>
      </c>
      <c r="B14" s="7" t="s">
        <v>15</v>
      </c>
      <c r="C14" s="7" t="s">
        <v>16</v>
      </c>
      <c r="D14" s="7"/>
      <c r="E14" s="8">
        <v>289.93400000000003</v>
      </c>
      <c r="F14" s="8">
        <v>63.61</v>
      </c>
      <c r="G14" s="7"/>
      <c r="H14" s="21">
        <v>18442.7</v>
      </c>
      <c r="I14" s="8">
        <v>16000</v>
      </c>
      <c r="J14" s="8">
        <v>15.266887499999999</v>
      </c>
    </row>
    <row r="15" spans="1:10" ht="15.75" thickBot="1">
      <c r="A15" s="20">
        <v>4</v>
      </c>
      <c r="B15" s="7" t="s">
        <v>17</v>
      </c>
      <c r="C15" s="7" t="s">
        <v>18</v>
      </c>
      <c r="D15" s="7"/>
      <c r="E15" s="8">
        <v>219.64400000000001</v>
      </c>
      <c r="F15" s="8">
        <v>55.38</v>
      </c>
      <c r="G15" s="7"/>
      <c r="H15" s="21">
        <v>12163.89</v>
      </c>
      <c r="I15" s="8">
        <v>10000</v>
      </c>
      <c r="J15" s="8">
        <v>21.638850000000001</v>
      </c>
    </row>
    <row r="16" spans="1:10" ht="15.75" thickBot="1">
      <c r="A16" s="20">
        <v>5</v>
      </c>
      <c r="B16" s="7" t="s">
        <v>19</v>
      </c>
      <c r="C16" s="7" t="s">
        <v>20</v>
      </c>
      <c r="D16" s="7"/>
      <c r="E16" s="8">
        <v>172.30699999999999</v>
      </c>
      <c r="F16" s="8">
        <v>68.12</v>
      </c>
      <c r="G16" s="7"/>
      <c r="H16" s="21">
        <v>11737.55</v>
      </c>
      <c r="I16" s="8">
        <v>10000</v>
      </c>
      <c r="J16" s="8">
        <v>17.375530000000001</v>
      </c>
    </row>
    <row r="17" spans="1:10" ht="15.75" thickBot="1">
      <c r="A17" s="29">
        <v>6</v>
      </c>
      <c r="B17" s="30" t="s">
        <v>23</v>
      </c>
      <c r="C17" s="30" t="s">
        <v>24</v>
      </c>
      <c r="D17" s="30"/>
      <c r="E17" s="31">
        <v>279.589</v>
      </c>
      <c r="F17" s="31">
        <v>65.17</v>
      </c>
      <c r="G17" s="7"/>
      <c r="H17" s="32">
        <v>18220.82</v>
      </c>
      <c r="I17" s="31">
        <v>15000</v>
      </c>
      <c r="J17" s="31">
        <v>21.472100000000001</v>
      </c>
    </row>
    <row r="18" spans="1:10" ht="15.75" thickBot="1">
      <c r="A18" s="20">
        <v>7</v>
      </c>
      <c r="B18" s="7" t="s">
        <v>21</v>
      </c>
      <c r="C18" s="7" t="s">
        <v>22</v>
      </c>
      <c r="D18" s="7"/>
      <c r="E18" s="8">
        <v>254.5</v>
      </c>
      <c r="F18" s="8">
        <v>44.91</v>
      </c>
      <c r="G18" s="7"/>
      <c r="H18" s="21">
        <v>11429.6</v>
      </c>
      <c r="I18" s="8">
        <v>10000</v>
      </c>
      <c r="J18" s="8">
        <v>14.295949999999999</v>
      </c>
    </row>
    <row r="19" spans="1:10" ht="15.75" thickBot="1">
      <c r="A19" s="33"/>
      <c r="B19" s="33"/>
      <c r="C19" s="33"/>
      <c r="D19" s="33"/>
      <c r="E19" s="33"/>
      <c r="F19" s="33"/>
      <c r="G19" s="33"/>
      <c r="H19" s="34">
        <v>95017</v>
      </c>
      <c r="I19" s="35">
        <v>81000</v>
      </c>
      <c r="J19" s="36">
        <v>17.304932099999998</v>
      </c>
    </row>
    <row r="20" spans="1:10" ht="16.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7.25" thickBot="1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5.75" thickBot="1">
      <c r="A22" s="26">
        <v>1</v>
      </c>
      <c r="B22" s="17" t="s">
        <v>11</v>
      </c>
      <c r="C22" s="17" t="s">
        <v>12</v>
      </c>
      <c r="D22" s="17"/>
      <c r="E22" s="27">
        <v>143.399</v>
      </c>
      <c r="F22" s="27">
        <v>78.34</v>
      </c>
      <c r="G22" s="17"/>
      <c r="H22" s="28">
        <v>11233.88</v>
      </c>
      <c r="I22" s="27">
        <v>11000</v>
      </c>
      <c r="J22" s="27">
        <v>2.1261605449999998</v>
      </c>
    </row>
    <row r="23" spans="1:10" ht="15.75" thickBot="1">
      <c r="A23" s="20">
        <v>2</v>
      </c>
      <c r="B23" s="7" t="s">
        <v>13</v>
      </c>
      <c r="C23" s="7" t="s">
        <v>14</v>
      </c>
      <c r="D23" s="7"/>
      <c r="E23" s="8">
        <v>115.61799999999999</v>
      </c>
      <c r="F23" s="8">
        <v>115.46</v>
      </c>
      <c r="G23" s="7"/>
      <c r="H23" s="21">
        <v>13349.25</v>
      </c>
      <c r="I23" s="8">
        <v>11000</v>
      </c>
      <c r="J23" s="8">
        <v>21.356857089999998</v>
      </c>
    </row>
    <row r="24" spans="1:10" ht="15.75" thickBot="1">
      <c r="A24" s="20">
        <v>3</v>
      </c>
      <c r="B24" s="7" t="s">
        <v>15</v>
      </c>
      <c r="C24" s="7" t="s">
        <v>16</v>
      </c>
      <c r="D24" s="7"/>
      <c r="E24" s="8">
        <v>306.27800000000002</v>
      </c>
      <c r="F24" s="8">
        <v>61.95</v>
      </c>
      <c r="G24" s="7"/>
      <c r="H24" s="21">
        <v>18973.919999999998</v>
      </c>
      <c r="I24" s="8">
        <v>17000</v>
      </c>
      <c r="J24" s="8">
        <v>11.611306470000001</v>
      </c>
    </row>
    <row r="25" spans="1:10" ht="15.75" thickBot="1">
      <c r="A25" s="20">
        <v>4</v>
      </c>
      <c r="B25" s="7" t="s">
        <v>17</v>
      </c>
      <c r="C25" s="7" t="s">
        <v>18</v>
      </c>
      <c r="D25" s="7"/>
      <c r="E25" s="8">
        <v>238.15799999999999</v>
      </c>
      <c r="F25" s="8">
        <v>53.65</v>
      </c>
      <c r="G25" s="7"/>
      <c r="H25" s="21">
        <v>12777.18</v>
      </c>
      <c r="I25" s="8">
        <v>11000</v>
      </c>
      <c r="J25" s="8">
        <v>16.156151820000002</v>
      </c>
    </row>
    <row r="26" spans="1:10" ht="15.75" thickBot="1">
      <c r="A26" s="20">
        <v>5</v>
      </c>
      <c r="B26" s="7" t="s">
        <v>19</v>
      </c>
      <c r="C26" s="7" t="s">
        <v>20</v>
      </c>
      <c r="D26" s="7"/>
      <c r="E26" s="8">
        <v>187.37100000000001</v>
      </c>
      <c r="F26" s="8">
        <v>67.11</v>
      </c>
      <c r="G26" s="7"/>
      <c r="H26" s="21">
        <v>12574.47</v>
      </c>
      <c r="I26" s="8">
        <v>11000</v>
      </c>
      <c r="J26" s="8">
        <v>14.31334373</v>
      </c>
    </row>
    <row r="27" spans="1:10" ht="15.75" thickBot="1">
      <c r="A27" s="37">
        <v>6</v>
      </c>
      <c r="B27" s="38" t="s">
        <v>23</v>
      </c>
      <c r="C27" s="38" t="s">
        <v>24</v>
      </c>
      <c r="D27" s="38"/>
      <c r="E27" s="39">
        <v>295.279</v>
      </c>
      <c r="F27" s="39">
        <v>63.67</v>
      </c>
      <c r="G27" s="38"/>
      <c r="H27" s="21">
        <v>18800.41</v>
      </c>
      <c r="I27" s="39">
        <v>16000</v>
      </c>
      <c r="J27" s="39">
        <v>17.50258706</v>
      </c>
    </row>
    <row r="28" spans="1:10" ht="15.75" thickBot="1">
      <c r="A28" s="20">
        <v>7</v>
      </c>
      <c r="B28" s="7" t="s">
        <v>21</v>
      </c>
      <c r="C28" s="7" t="s">
        <v>22</v>
      </c>
      <c r="D28" s="7"/>
      <c r="E28" s="8">
        <v>277.49799999999999</v>
      </c>
      <c r="F28" s="8">
        <v>43.75</v>
      </c>
      <c r="G28" s="7"/>
      <c r="H28" s="21">
        <v>12140.54</v>
      </c>
      <c r="I28" s="8">
        <v>11000</v>
      </c>
      <c r="J28" s="8">
        <v>10.36852273</v>
      </c>
    </row>
    <row r="29" spans="1:10" ht="15.75" thickBot="1">
      <c r="A29" s="33"/>
      <c r="B29" s="33"/>
      <c r="C29" s="33"/>
      <c r="D29" s="33"/>
      <c r="E29" s="33"/>
      <c r="F29" s="33"/>
      <c r="G29" s="33"/>
      <c r="H29" s="34">
        <v>99849.65</v>
      </c>
      <c r="I29" s="35">
        <v>88000</v>
      </c>
      <c r="J29" s="36">
        <v>13.465511340000001</v>
      </c>
    </row>
    <row r="30" spans="1:10" ht="16.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7.25" thickBot="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5.75" thickBot="1">
      <c r="A32" s="26">
        <v>1</v>
      </c>
      <c r="B32" s="17" t="s">
        <v>21</v>
      </c>
      <c r="C32" s="17" t="s">
        <v>22</v>
      </c>
      <c r="D32" s="17"/>
      <c r="E32" s="27">
        <v>299.99400000000003</v>
      </c>
      <c r="F32" s="27">
        <v>44.14</v>
      </c>
      <c r="G32" s="17"/>
      <c r="H32" s="28">
        <v>13241.74</v>
      </c>
      <c r="I32" s="27">
        <v>12000</v>
      </c>
      <c r="J32" s="27">
        <v>10.347792999999999</v>
      </c>
    </row>
    <row r="33" spans="1:10" ht="15.75" thickBot="1">
      <c r="A33" s="20">
        <v>2</v>
      </c>
      <c r="B33" s="7" t="s">
        <v>23</v>
      </c>
      <c r="C33" s="7" t="s">
        <v>24</v>
      </c>
      <c r="D33" s="7"/>
      <c r="E33" s="8">
        <v>310.99900000000002</v>
      </c>
      <c r="F33" s="8">
        <v>63.33</v>
      </c>
      <c r="G33" s="7"/>
      <c r="H33" s="21">
        <v>19695.57</v>
      </c>
      <c r="I33" s="8">
        <v>17000</v>
      </c>
      <c r="J33" s="8">
        <v>15.85627453</v>
      </c>
    </row>
    <row r="34" spans="1:10" ht="15.75" thickBot="1">
      <c r="A34" s="20">
        <v>3</v>
      </c>
      <c r="B34" s="7" t="s">
        <v>19</v>
      </c>
      <c r="C34" s="7" t="s">
        <v>20</v>
      </c>
      <c r="D34" s="7"/>
      <c r="E34" s="8">
        <v>201.77099999999999</v>
      </c>
      <c r="F34" s="8">
        <v>68.98</v>
      </c>
      <c r="G34" s="7"/>
      <c r="H34" s="21">
        <v>13918.16</v>
      </c>
      <c r="I34" s="8">
        <v>12000</v>
      </c>
      <c r="J34" s="8">
        <v>15.9846965</v>
      </c>
    </row>
    <row r="35" spans="1:10" ht="15.75" thickBot="1">
      <c r="A35" s="20">
        <v>4</v>
      </c>
      <c r="B35" s="7" t="s">
        <v>17</v>
      </c>
      <c r="C35" s="7" t="s">
        <v>18</v>
      </c>
      <c r="D35" s="7"/>
      <c r="E35" s="8">
        <v>256.46199999999999</v>
      </c>
      <c r="F35" s="8">
        <v>54.23</v>
      </c>
      <c r="G35" s="7"/>
      <c r="H35" s="21">
        <v>13907.93</v>
      </c>
      <c r="I35" s="8">
        <v>12000</v>
      </c>
      <c r="J35" s="8">
        <v>15.89945217</v>
      </c>
    </row>
    <row r="36" spans="1:10" ht="15.75" thickBot="1">
      <c r="A36" s="20">
        <v>5</v>
      </c>
      <c r="B36" s="7" t="s">
        <v>11</v>
      </c>
      <c r="C36" s="7" t="s">
        <v>12</v>
      </c>
      <c r="D36" s="7"/>
      <c r="E36" s="8">
        <v>155.83099999999999</v>
      </c>
      <c r="F36" s="8">
        <v>79.849999999999994</v>
      </c>
      <c r="G36" s="7"/>
      <c r="H36" s="21">
        <v>12443.11</v>
      </c>
      <c r="I36" s="8">
        <v>12000</v>
      </c>
      <c r="J36" s="8">
        <v>3.6925445830000001</v>
      </c>
    </row>
    <row r="37" spans="1:10" ht="15.75" thickBot="1">
      <c r="A37" s="37">
        <v>6</v>
      </c>
      <c r="B37" s="38" t="s">
        <v>15</v>
      </c>
      <c r="C37" s="38" t="s">
        <v>16</v>
      </c>
      <c r="D37" s="38"/>
      <c r="E37" s="39">
        <v>321.89</v>
      </c>
      <c r="F37" s="39">
        <v>63.64</v>
      </c>
      <c r="G37" s="38"/>
      <c r="H37" s="21">
        <v>20485.080000000002</v>
      </c>
      <c r="I37" s="39">
        <v>18000</v>
      </c>
      <c r="J37" s="39">
        <v>13.80599778</v>
      </c>
    </row>
    <row r="38" spans="1:10" ht="15.75" thickBot="1">
      <c r="A38" s="20">
        <v>7</v>
      </c>
      <c r="B38" s="7" t="s">
        <v>13</v>
      </c>
      <c r="C38" s="7" t="s">
        <v>14</v>
      </c>
      <c r="D38" s="7"/>
      <c r="E38" s="8">
        <v>124.29900000000001</v>
      </c>
      <c r="F38" s="8">
        <v>114.54</v>
      </c>
      <c r="G38" s="7"/>
      <c r="H38" s="21">
        <v>14237.21</v>
      </c>
      <c r="I38" s="8">
        <v>12000</v>
      </c>
      <c r="J38" s="8">
        <v>18.6433955</v>
      </c>
    </row>
    <row r="39" spans="1:10" ht="15.75" thickBot="1">
      <c r="A39" s="33"/>
      <c r="B39" s="33"/>
      <c r="C39" s="33"/>
      <c r="D39" s="33"/>
      <c r="E39" s="33"/>
      <c r="F39" s="33"/>
      <c r="G39" s="33"/>
      <c r="H39" s="34">
        <v>107928.79</v>
      </c>
      <c r="I39" s="35">
        <v>95000</v>
      </c>
      <c r="J39" s="36">
        <v>13.60925482</v>
      </c>
    </row>
    <row r="40" spans="1:10" ht="16.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16.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17.25" thickBot="1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15.75" thickBot="1">
      <c r="A43" s="26">
        <v>1</v>
      </c>
      <c r="B43" s="17" t="s">
        <v>21</v>
      </c>
      <c r="C43" s="17" t="s">
        <v>22</v>
      </c>
      <c r="D43" s="17"/>
      <c r="E43" s="27">
        <v>322.45999999999998</v>
      </c>
      <c r="F43" s="27">
        <v>44.77</v>
      </c>
      <c r="G43" s="17"/>
      <c r="H43" s="28">
        <v>14436.53</v>
      </c>
      <c r="I43" s="27">
        <v>13000</v>
      </c>
      <c r="J43" s="27">
        <v>11.050261539999999</v>
      </c>
    </row>
    <row r="44" spans="1:10" ht="15.75" thickBot="1">
      <c r="A44" s="20">
        <v>2</v>
      </c>
      <c r="B44" s="7" t="s">
        <v>23</v>
      </c>
      <c r="C44" s="7" t="s">
        <v>24</v>
      </c>
      <c r="D44" s="7"/>
      <c r="E44" s="8">
        <v>326.452</v>
      </c>
      <c r="F44" s="8">
        <v>64.97</v>
      </c>
      <c r="G44" s="7"/>
      <c r="H44" s="21">
        <v>21209.59</v>
      </c>
      <c r="I44" s="8">
        <v>18000</v>
      </c>
      <c r="J44" s="8">
        <v>17.83103333</v>
      </c>
    </row>
    <row r="45" spans="1:10" ht="15.75" thickBot="1">
      <c r="A45" s="20">
        <v>3</v>
      </c>
      <c r="B45" s="7" t="s">
        <v>19</v>
      </c>
      <c r="C45" s="7" t="s">
        <v>20</v>
      </c>
      <c r="D45" s="7"/>
      <c r="E45" s="8">
        <v>215.85900000000001</v>
      </c>
      <c r="F45" s="8">
        <v>71.37</v>
      </c>
      <c r="G45" s="7"/>
      <c r="H45" s="21">
        <v>15405.86</v>
      </c>
      <c r="I45" s="8">
        <v>13000</v>
      </c>
      <c r="J45" s="8">
        <v>18.506592309999998</v>
      </c>
    </row>
    <row r="46" spans="1:10" ht="15.75" thickBot="1">
      <c r="A46" s="20">
        <v>4</v>
      </c>
      <c r="B46" s="7" t="s">
        <v>17</v>
      </c>
      <c r="C46" s="7" t="s">
        <v>18</v>
      </c>
      <c r="D46" s="7"/>
      <c r="E46" s="8">
        <v>274.69299999999998</v>
      </c>
      <c r="F46" s="8">
        <v>55.2</v>
      </c>
      <c r="G46" s="7"/>
      <c r="H46" s="21">
        <v>15163.05</v>
      </c>
      <c r="I46" s="8">
        <v>13000</v>
      </c>
      <c r="J46" s="8">
        <v>16.638876920000001</v>
      </c>
    </row>
    <row r="47" spans="1:10" ht="15.75" thickBot="1">
      <c r="A47" s="20">
        <v>5</v>
      </c>
      <c r="B47" s="7" t="s">
        <v>11</v>
      </c>
      <c r="C47" s="7" t="s">
        <v>12</v>
      </c>
      <c r="D47" s="7"/>
      <c r="E47" s="8">
        <v>167.94900000000001</v>
      </c>
      <c r="F47" s="8">
        <v>82.35</v>
      </c>
      <c r="G47" s="7"/>
      <c r="H47" s="21">
        <v>13830.6</v>
      </c>
      <c r="I47" s="8">
        <v>13000</v>
      </c>
      <c r="J47" s="8">
        <v>6.3892307690000001</v>
      </c>
    </row>
    <row r="48" spans="1:10" ht="15.75" thickBot="1">
      <c r="A48" s="20">
        <v>6</v>
      </c>
      <c r="B48" s="7" t="s">
        <v>15</v>
      </c>
      <c r="C48" s="38" t="s">
        <v>16</v>
      </c>
      <c r="D48" s="38"/>
      <c r="E48" s="8">
        <v>337.28500000000003</v>
      </c>
      <c r="F48" s="8">
        <v>65.28</v>
      </c>
      <c r="G48" s="7"/>
      <c r="H48" s="21">
        <v>22017.97</v>
      </c>
      <c r="I48" s="39">
        <v>19000</v>
      </c>
      <c r="J48" s="8">
        <v>15.88402632</v>
      </c>
    </row>
    <row r="49" spans="1:10" ht="15.75" thickBot="1">
      <c r="A49" s="20">
        <v>7</v>
      </c>
      <c r="B49" s="7" t="s">
        <v>13</v>
      </c>
      <c r="C49" s="7" t="s">
        <v>14</v>
      </c>
      <c r="D49" s="7"/>
      <c r="E49" s="8">
        <v>132.84399999999999</v>
      </c>
      <c r="F49" s="8">
        <v>117.44</v>
      </c>
      <c r="G49" s="7"/>
      <c r="H49" s="21">
        <v>15601.2</v>
      </c>
      <c r="I49" s="8">
        <v>13000</v>
      </c>
      <c r="J49" s="8">
        <v>20.009223080000002</v>
      </c>
    </row>
    <row r="50" spans="1:10" ht="15.75" thickBot="1">
      <c r="A50" s="22"/>
      <c r="B50" s="23"/>
      <c r="C50" s="23"/>
      <c r="D50" s="23"/>
      <c r="E50" s="23"/>
      <c r="F50" s="23"/>
      <c r="G50" s="23"/>
      <c r="H50" s="24">
        <v>117664.8</v>
      </c>
      <c r="I50" s="25">
        <v>102000</v>
      </c>
      <c r="J50" s="25">
        <v>15.357642159999999</v>
      </c>
    </row>
    <row r="51" spans="1:10" ht="16.5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16.5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17.25" thickBot="1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15.75" thickBot="1">
      <c r="A54" s="26">
        <v>1</v>
      </c>
      <c r="B54" s="17" t="s">
        <v>21</v>
      </c>
      <c r="C54" s="17" t="s">
        <v>22</v>
      </c>
      <c r="D54" s="17"/>
      <c r="E54" s="27">
        <v>345.73099999999999</v>
      </c>
      <c r="F54" s="27">
        <v>42.73</v>
      </c>
      <c r="G54" s="17"/>
      <c r="H54" s="28">
        <v>14773.09</v>
      </c>
      <c r="I54" s="27">
        <v>14000</v>
      </c>
      <c r="J54" s="27">
        <v>5.5220428569999997</v>
      </c>
    </row>
    <row r="55" spans="1:10" ht="15.75" thickBot="1">
      <c r="A55" s="20">
        <v>2</v>
      </c>
      <c r="B55" s="7" t="s">
        <v>23</v>
      </c>
      <c r="C55" s="7" t="s">
        <v>24</v>
      </c>
      <c r="D55" s="7"/>
      <c r="E55" s="8">
        <v>342.22199999999998</v>
      </c>
      <c r="F55" s="8">
        <v>63.19</v>
      </c>
      <c r="G55" s="7"/>
      <c r="H55" s="21">
        <v>21625.01</v>
      </c>
      <c r="I55" s="8">
        <v>19000</v>
      </c>
      <c r="J55" s="8">
        <v>13.815831579999999</v>
      </c>
    </row>
    <row r="56" spans="1:10" ht="15.75" thickBot="1">
      <c r="A56" s="20">
        <v>3</v>
      </c>
      <c r="B56" s="7" t="s">
        <v>19</v>
      </c>
      <c r="C56" s="7" t="s">
        <v>20</v>
      </c>
      <c r="D56" s="7"/>
      <c r="E56" s="8">
        <v>230.15600000000001</v>
      </c>
      <c r="F56" s="8">
        <v>69.819999999999993</v>
      </c>
      <c r="G56" s="7"/>
      <c r="H56" s="21">
        <v>16069.49</v>
      </c>
      <c r="I56" s="8">
        <v>14000</v>
      </c>
      <c r="J56" s="8">
        <v>14.78208571</v>
      </c>
    </row>
    <row r="57" spans="1:10" ht="15.75" thickBot="1">
      <c r="A57" s="20">
        <v>4</v>
      </c>
      <c r="B57" s="7" t="s">
        <v>17</v>
      </c>
      <c r="C57" s="7" t="s">
        <v>18</v>
      </c>
      <c r="D57" s="7"/>
      <c r="E57" s="8">
        <v>293.23500000000001</v>
      </c>
      <c r="F57" s="8">
        <v>53.85</v>
      </c>
      <c r="G57" s="7"/>
      <c r="H57" s="21">
        <v>15790.71</v>
      </c>
      <c r="I57" s="8">
        <v>14000</v>
      </c>
      <c r="J57" s="8">
        <v>12.790749999999999</v>
      </c>
    </row>
    <row r="58" spans="1:10" ht="15.75" thickBot="1">
      <c r="A58" s="20">
        <v>5</v>
      </c>
      <c r="B58" s="7" t="s">
        <v>11</v>
      </c>
      <c r="C58" s="7" t="s">
        <v>12</v>
      </c>
      <c r="D58" s="7"/>
      <c r="E58" s="8">
        <v>180.39500000000001</v>
      </c>
      <c r="F58" s="8">
        <v>80.14</v>
      </c>
      <c r="G58" s="7"/>
      <c r="H58" s="21">
        <v>14456.86</v>
      </c>
      <c r="I58" s="8">
        <v>14000</v>
      </c>
      <c r="J58" s="8">
        <v>3.2632500000000002</v>
      </c>
    </row>
    <row r="59" spans="1:10" ht="15.75" thickBot="1">
      <c r="A59" s="20">
        <v>6</v>
      </c>
      <c r="B59" s="7" t="s">
        <v>15</v>
      </c>
      <c r="C59" s="38" t="s">
        <v>16</v>
      </c>
      <c r="D59" s="38"/>
      <c r="E59" s="8">
        <v>352.94900000000001</v>
      </c>
      <c r="F59" s="8">
        <v>63.82</v>
      </c>
      <c r="G59" s="7"/>
      <c r="H59" s="21">
        <v>22525.21</v>
      </c>
      <c r="I59" s="39">
        <v>20000</v>
      </c>
      <c r="J59" s="8">
        <v>12.626025</v>
      </c>
    </row>
    <row r="60" spans="1:10" ht="15.75" thickBot="1">
      <c r="A60" s="20">
        <v>7</v>
      </c>
      <c r="B60" s="7" t="s">
        <v>13</v>
      </c>
      <c r="C60" s="7" t="s">
        <v>14</v>
      </c>
      <c r="D60" s="7"/>
      <c r="E60" s="8">
        <v>141.678</v>
      </c>
      <c r="F60" s="8">
        <v>111.07</v>
      </c>
      <c r="G60" s="7"/>
      <c r="H60" s="21">
        <v>15736.18</v>
      </c>
      <c r="I60" s="8">
        <v>14000</v>
      </c>
      <c r="J60" s="8">
        <v>12.401249999999999</v>
      </c>
    </row>
    <row r="61" spans="1:10" ht="15.75" thickBot="1">
      <c r="A61" s="22"/>
      <c r="B61" s="23"/>
      <c r="C61" s="23"/>
      <c r="D61" s="23"/>
      <c r="E61" s="23"/>
      <c r="F61" s="23"/>
      <c r="G61" s="23"/>
      <c r="H61" s="24">
        <v>120976.53</v>
      </c>
      <c r="I61" s="25">
        <v>109000</v>
      </c>
      <c r="J61" s="25">
        <v>10.98763853</v>
      </c>
    </row>
    <row r="62" spans="1:10" ht="16.5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17.25" thickBot="1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15.75" thickBot="1">
      <c r="A64" s="26">
        <v>1</v>
      </c>
      <c r="B64" s="17" t="s">
        <v>21</v>
      </c>
      <c r="C64" s="17" t="s">
        <v>22</v>
      </c>
      <c r="D64" s="17"/>
      <c r="E64" s="27">
        <v>368.98599999999999</v>
      </c>
      <c r="F64" s="27">
        <v>43.23</v>
      </c>
      <c r="G64" s="17"/>
      <c r="H64" s="28">
        <v>15951.27</v>
      </c>
      <c r="I64" s="27">
        <v>15000</v>
      </c>
      <c r="J64" s="27">
        <v>6.3417666669999999</v>
      </c>
    </row>
    <row r="65" spans="1:10" ht="15.75" thickBot="1">
      <c r="A65" s="20">
        <v>2</v>
      </c>
      <c r="B65" s="7" t="s">
        <v>23</v>
      </c>
      <c r="C65" s="7" t="s">
        <v>24</v>
      </c>
      <c r="D65" s="7"/>
      <c r="E65" s="8">
        <v>357.87299999999999</v>
      </c>
      <c r="F65" s="8">
        <v>63.13</v>
      </c>
      <c r="G65" s="7"/>
      <c r="H65" s="21">
        <v>22592.52</v>
      </c>
      <c r="I65" s="8">
        <v>20000</v>
      </c>
      <c r="J65" s="8">
        <v>12.96261</v>
      </c>
    </row>
    <row r="66" spans="1:10" ht="15.75" thickBot="1">
      <c r="A66" s="20">
        <v>3</v>
      </c>
      <c r="B66" s="7" t="s">
        <v>19</v>
      </c>
      <c r="C66" s="7" t="s">
        <v>20</v>
      </c>
      <c r="D66" s="7"/>
      <c r="E66" s="8">
        <v>244.62700000000001</v>
      </c>
      <c r="F66" s="8">
        <v>69.42</v>
      </c>
      <c r="G66" s="7"/>
      <c r="H66" s="21">
        <v>16982.009999999998</v>
      </c>
      <c r="I66" s="8">
        <v>15000</v>
      </c>
      <c r="J66" s="8">
        <v>13.21337333</v>
      </c>
    </row>
    <row r="67" spans="1:10" ht="15.75" thickBot="1">
      <c r="A67" s="20">
        <v>4</v>
      </c>
      <c r="B67" s="7" t="s">
        <v>17</v>
      </c>
      <c r="C67" s="7" t="s">
        <v>18</v>
      </c>
      <c r="D67" s="7"/>
      <c r="E67" s="8">
        <v>311.98899999999998</v>
      </c>
      <c r="F67" s="8">
        <v>52.88</v>
      </c>
      <c r="G67" s="7"/>
      <c r="H67" s="21">
        <v>16497.98</v>
      </c>
      <c r="I67" s="8">
        <v>15000</v>
      </c>
      <c r="J67" s="8">
        <v>9.9865200000000005</v>
      </c>
    </row>
    <row r="68" spans="1:10" ht="15.75" thickBot="1">
      <c r="A68" s="20">
        <v>5</v>
      </c>
      <c r="B68" s="7" t="s">
        <v>11</v>
      </c>
      <c r="C68" s="7" t="s">
        <v>12</v>
      </c>
      <c r="D68" s="7"/>
      <c r="E68" s="8">
        <v>193.005</v>
      </c>
      <c r="F68" s="8">
        <v>79.540000000000006</v>
      </c>
      <c r="G68" s="7"/>
      <c r="H68" s="21">
        <v>15351.62</v>
      </c>
      <c r="I68" s="8">
        <v>15000</v>
      </c>
      <c r="J68" s="8">
        <v>2.3441200000000002</v>
      </c>
    </row>
    <row r="69" spans="1:10" ht="15.75" thickBot="1">
      <c r="A69" s="20">
        <v>6</v>
      </c>
      <c r="B69" s="7" t="s">
        <v>15</v>
      </c>
      <c r="C69" s="38" t="s">
        <v>16</v>
      </c>
      <c r="D69" s="38"/>
      <c r="E69" s="8">
        <v>368.68799999999999</v>
      </c>
      <c r="F69" s="8">
        <v>64</v>
      </c>
      <c r="G69" s="7"/>
      <c r="H69" s="21">
        <v>23596.03</v>
      </c>
      <c r="I69" s="39">
        <v>21000</v>
      </c>
      <c r="J69" s="8">
        <v>12.362057139999999</v>
      </c>
    </row>
    <row r="70" spans="1:10" ht="15.75" thickBot="1">
      <c r="A70" s="20">
        <v>7</v>
      </c>
      <c r="B70" s="7" t="s">
        <v>13</v>
      </c>
      <c r="C70" s="7" t="s">
        <v>14</v>
      </c>
      <c r="D70" s="7"/>
      <c r="E70" s="8">
        <v>150.642</v>
      </c>
      <c r="F70" s="8">
        <v>111.28</v>
      </c>
      <c r="G70" s="7"/>
      <c r="H70" s="21">
        <v>16763.439999999999</v>
      </c>
      <c r="I70" s="8">
        <v>15000</v>
      </c>
      <c r="J70" s="8">
        <v>11.75628</v>
      </c>
    </row>
    <row r="71" spans="1:10" ht="15.75" thickBot="1">
      <c r="A71" s="22"/>
      <c r="B71" s="23"/>
      <c r="C71" s="23"/>
      <c r="D71" s="23"/>
      <c r="E71" s="23"/>
      <c r="F71" s="23"/>
      <c r="G71" s="23"/>
      <c r="H71" s="24">
        <v>127734.86</v>
      </c>
      <c r="I71" s="25">
        <v>116000</v>
      </c>
      <c r="J71" s="25">
        <v>10.116261209999999</v>
      </c>
    </row>
    <row r="72" spans="1:10" ht="16.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17.25" thickBo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15.75" thickBot="1">
      <c r="A74" s="26">
        <v>1</v>
      </c>
      <c r="B74" s="17" t="s">
        <v>21</v>
      </c>
      <c r="C74" s="17" t="s">
        <v>22</v>
      </c>
      <c r="D74" s="17"/>
      <c r="E74" s="27">
        <v>392.90800000000002</v>
      </c>
      <c r="F74" s="27">
        <v>40.58</v>
      </c>
      <c r="G74" s="27">
        <v>15944.21</v>
      </c>
      <c r="H74" s="28">
        <v>15944.21</v>
      </c>
      <c r="I74" s="27">
        <v>16000</v>
      </c>
      <c r="J74" s="27">
        <v>-0.34870625</v>
      </c>
    </row>
    <row r="75" spans="1:10" ht="15.75" thickBot="1">
      <c r="A75" s="20">
        <v>2</v>
      </c>
      <c r="B75" s="7" t="s">
        <v>23</v>
      </c>
      <c r="C75" s="7" t="s">
        <v>24</v>
      </c>
      <c r="D75" s="7"/>
      <c r="E75" s="8">
        <v>373.77800000000002</v>
      </c>
      <c r="F75" s="8">
        <v>61.26</v>
      </c>
      <c r="G75" s="8">
        <v>22897.64</v>
      </c>
      <c r="H75" s="21">
        <v>22897.64</v>
      </c>
      <c r="I75" s="8">
        <v>21000</v>
      </c>
      <c r="J75" s="8">
        <v>9.036380952</v>
      </c>
    </row>
    <row r="76" spans="1:10" ht="15.75" thickBot="1">
      <c r="A76" s="20">
        <v>3</v>
      </c>
      <c r="B76" s="7" t="s">
        <v>19</v>
      </c>
      <c r="C76" s="7" t="s">
        <v>20</v>
      </c>
      <c r="D76" s="7"/>
      <c r="E76" s="8">
        <v>259.315</v>
      </c>
      <c r="F76" s="8">
        <v>66.17</v>
      </c>
      <c r="G76" s="8">
        <v>17158.87</v>
      </c>
      <c r="H76" s="21">
        <v>17158.87</v>
      </c>
      <c r="I76" s="8">
        <v>16000</v>
      </c>
      <c r="J76" s="8">
        <v>7.2429625</v>
      </c>
    </row>
    <row r="77" spans="1:10" ht="15.75" thickBot="1">
      <c r="A77" s="20">
        <v>4</v>
      </c>
      <c r="B77" s="7" t="s">
        <v>17</v>
      </c>
      <c r="C77" s="7" t="s">
        <v>18</v>
      </c>
      <c r="D77" s="7"/>
      <c r="E77" s="8">
        <v>330.73599999999999</v>
      </c>
      <c r="F77" s="8">
        <v>52.57</v>
      </c>
      <c r="G77" s="8">
        <v>17386.79</v>
      </c>
      <c r="H77" s="21">
        <v>17386.79</v>
      </c>
      <c r="I77" s="8">
        <v>16000</v>
      </c>
      <c r="J77" s="8">
        <v>8.6674500000000005</v>
      </c>
    </row>
    <row r="78" spans="1:10" ht="15.75" thickBot="1">
      <c r="A78" s="20">
        <v>5</v>
      </c>
      <c r="B78" s="7" t="s">
        <v>11</v>
      </c>
      <c r="C78" s="7" t="s">
        <v>12</v>
      </c>
      <c r="D78" s="7"/>
      <c r="E78" s="8">
        <v>205.74199999999999</v>
      </c>
      <c r="F78" s="8">
        <v>75.150000000000006</v>
      </c>
      <c r="G78" s="8">
        <v>15461.51</v>
      </c>
      <c r="H78" s="21">
        <v>15461.51</v>
      </c>
      <c r="I78" s="8">
        <v>16000</v>
      </c>
      <c r="J78" s="8">
        <v>-3.36555625</v>
      </c>
    </row>
    <row r="79" spans="1:10" ht="15.75" thickBot="1">
      <c r="A79" s="20">
        <v>6</v>
      </c>
      <c r="B79" s="7" t="s">
        <v>15</v>
      </c>
      <c r="C79" s="38" t="s">
        <v>16</v>
      </c>
      <c r="D79" s="38"/>
      <c r="E79" s="8">
        <v>384.68200000000002</v>
      </c>
      <c r="F79" s="8">
        <v>60.7</v>
      </c>
      <c r="G79" s="8">
        <v>23350.2</v>
      </c>
      <c r="H79" s="21">
        <v>23350.2</v>
      </c>
      <c r="I79" s="39">
        <v>22000</v>
      </c>
      <c r="J79" s="8">
        <v>6.1372590909999998</v>
      </c>
    </row>
    <row r="80" spans="1:10" ht="15.75" thickBot="1">
      <c r="A80" s="20">
        <v>7</v>
      </c>
      <c r="B80" s="7" t="s">
        <v>13</v>
      </c>
      <c r="C80" s="7" t="s">
        <v>14</v>
      </c>
      <c r="D80" s="7"/>
      <c r="E80" s="8">
        <v>159.62700000000001</v>
      </c>
      <c r="F80" s="8">
        <v>108.87</v>
      </c>
      <c r="G80" s="8">
        <v>17378.59</v>
      </c>
      <c r="H80" s="21">
        <v>17378.59</v>
      </c>
      <c r="I80" s="8">
        <v>16000</v>
      </c>
      <c r="J80" s="8">
        <v>8.6161937500000008</v>
      </c>
    </row>
    <row r="81" spans="1:10" ht="15.75" thickBot="1">
      <c r="A81" s="22"/>
      <c r="B81" s="23"/>
      <c r="C81" s="23"/>
      <c r="D81" s="23"/>
      <c r="E81" s="23"/>
      <c r="F81" s="23"/>
      <c r="G81" s="23"/>
      <c r="H81" s="24">
        <v>129577.81</v>
      </c>
      <c r="I81" s="25">
        <v>123000</v>
      </c>
      <c r="J81" s="25">
        <v>5.3478146339999997</v>
      </c>
    </row>
    <row r="82" spans="1:10" ht="16.5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17.25" thickBo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15.75" thickBot="1">
      <c r="A84" s="26">
        <v>1</v>
      </c>
      <c r="B84" s="17" t="s">
        <v>21</v>
      </c>
      <c r="C84" s="17" t="s">
        <v>22</v>
      </c>
      <c r="D84" s="17"/>
      <c r="E84" s="27">
        <v>416.66500000000002</v>
      </c>
      <c r="F84" s="27">
        <v>42.44</v>
      </c>
      <c r="G84" s="27">
        <v>17683.259999999998</v>
      </c>
      <c r="H84" s="28">
        <v>17683.259999999998</v>
      </c>
      <c r="I84" s="27">
        <v>17000</v>
      </c>
      <c r="J84" s="27">
        <v>4.0191941179999997</v>
      </c>
    </row>
    <row r="85" spans="1:10" ht="15.75" thickBot="1">
      <c r="A85" s="20">
        <v>2</v>
      </c>
      <c r="B85" s="7" t="s">
        <v>23</v>
      </c>
      <c r="C85" s="7" t="s">
        <v>24</v>
      </c>
      <c r="D85" s="7"/>
      <c r="E85" s="8">
        <v>389.762</v>
      </c>
      <c r="F85" s="8">
        <v>63.23</v>
      </c>
      <c r="G85" s="8">
        <v>24644.65</v>
      </c>
      <c r="H85" s="21">
        <v>24644.65</v>
      </c>
      <c r="I85" s="8">
        <v>22000</v>
      </c>
      <c r="J85" s="8">
        <v>12.02114091</v>
      </c>
    </row>
    <row r="86" spans="1:10" ht="15.75" thickBot="1">
      <c r="A86" s="20">
        <v>3</v>
      </c>
      <c r="B86" s="7" t="s">
        <v>19</v>
      </c>
      <c r="C86" s="7" t="s">
        <v>20</v>
      </c>
      <c r="D86" s="7"/>
      <c r="E86" s="8">
        <v>273.90600000000001</v>
      </c>
      <c r="F86" s="8">
        <v>69.069999999999993</v>
      </c>
      <c r="G86" s="8">
        <v>18918.689999999999</v>
      </c>
      <c r="H86" s="21">
        <v>18918.689999999999</v>
      </c>
      <c r="I86" s="8">
        <v>17000</v>
      </c>
      <c r="J86" s="8">
        <v>11.286394120000001</v>
      </c>
    </row>
    <row r="87" spans="1:10" ht="15.75" thickBot="1">
      <c r="A87" s="20">
        <v>4</v>
      </c>
      <c r="B87" s="7" t="s">
        <v>17</v>
      </c>
      <c r="C87" s="7" t="s">
        <v>18</v>
      </c>
      <c r="D87" s="7"/>
      <c r="E87" s="8">
        <v>349.40600000000001</v>
      </c>
      <c r="F87" s="8">
        <v>53.7</v>
      </c>
      <c r="G87" s="8">
        <v>18763.099999999999</v>
      </c>
      <c r="H87" s="21">
        <v>18763.099999999999</v>
      </c>
      <c r="I87" s="8">
        <v>17000</v>
      </c>
      <c r="J87" s="8">
        <v>10.37118824</v>
      </c>
    </row>
    <row r="88" spans="1:10" ht="15.75" thickBot="1">
      <c r="A88" s="20">
        <v>5</v>
      </c>
      <c r="B88" s="7" t="s">
        <v>11</v>
      </c>
      <c r="C88" s="7" t="s">
        <v>12</v>
      </c>
      <c r="D88" s="7"/>
      <c r="E88" s="8">
        <v>218.607</v>
      </c>
      <c r="F88" s="8">
        <v>78.349999999999994</v>
      </c>
      <c r="G88" s="8">
        <v>17127.86</v>
      </c>
      <c r="H88" s="21">
        <v>17127.86</v>
      </c>
      <c r="I88" s="8">
        <v>17000</v>
      </c>
      <c r="J88" s="8">
        <v>0.75210588199999995</v>
      </c>
    </row>
    <row r="89" spans="1:10" ht="15.75" thickBot="1">
      <c r="A89" s="20">
        <v>6</v>
      </c>
      <c r="B89" s="7" t="s">
        <v>15</v>
      </c>
      <c r="C89" s="38" t="s">
        <v>16</v>
      </c>
      <c r="D89" s="38"/>
      <c r="E89" s="8">
        <v>400.62</v>
      </c>
      <c r="F89" s="8">
        <v>63.56</v>
      </c>
      <c r="G89" s="8">
        <v>25463.41</v>
      </c>
      <c r="H89" s="21">
        <v>25463.41</v>
      </c>
      <c r="I89" s="39">
        <v>23000</v>
      </c>
      <c r="J89" s="8">
        <v>10.71046522</v>
      </c>
    </row>
    <row r="90" spans="1:10" ht="15.75" thickBot="1">
      <c r="A90" s="20">
        <v>7</v>
      </c>
      <c r="B90" s="7" t="s">
        <v>13</v>
      </c>
      <c r="C90" s="7" t="s">
        <v>14</v>
      </c>
      <c r="D90" s="7"/>
      <c r="E90" s="8">
        <v>168.738</v>
      </c>
      <c r="F90" s="8">
        <v>110.4</v>
      </c>
      <c r="G90" s="8">
        <v>18628.68</v>
      </c>
      <c r="H90" s="21">
        <v>18628.68</v>
      </c>
      <c r="I90" s="8">
        <v>17000</v>
      </c>
      <c r="J90" s="8">
        <v>9.5804411760000008</v>
      </c>
    </row>
    <row r="91" spans="1:10" ht="15.75" thickBot="1">
      <c r="A91" s="22"/>
      <c r="B91" s="23"/>
      <c r="C91" s="23"/>
      <c r="D91" s="23"/>
      <c r="E91" s="23"/>
      <c r="F91" s="23"/>
      <c r="G91" s="23"/>
      <c r="H91" s="24">
        <v>141229.64000000001</v>
      </c>
      <c r="I91" s="25">
        <v>130000</v>
      </c>
      <c r="J91" s="25">
        <v>8.6381869229999992</v>
      </c>
    </row>
    <row r="92" spans="1:10" ht="16.5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ht="17.25" thickBo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15.75" thickBot="1">
      <c r="A94" s="10"/>
      <c r="B94" s="17" t="s">
        <v>43</v>
      </c>
      <c r="C94" s="17"/>
      <c r="D94" s="17"/>
      <c r="E94" s="17"/>
      <c r="F94" s="17"/>
      <c r="G94" s="17"/>
      <c r="H94" s="17"/>
      <c r="I94" s="17"/>
      <c r="J94" s="17"/>
    </row>
    <row r="95" spans="1:10" ht="15.75" thickBot="1">
      <c r="A95" s="20">
        <v>1</v>
      </c>
      <c r="B95" s="7" t="s">
        <v>21</v>
      </c>
      <c r="C95" s="7" t="s">
        <v>22</v>
      </c>
      <c r="D95" s="7"/>
      <c r="E95" s="8">
        <v>461.92399999999998</v>
      </c>
      <c r="F95" s="8">
        <v>45.14</v>
      </c>
      <c r="G95" s="8">
        <v>20851.25</v>
      </c>
      <c r="H95" s="21">
        <v>20851.25</v>
      </c>
      <c r="I95" s="8">
        <v>19000</v>
      </c>
      <c r="J95" s="8">
        <v>9.7434157890000002</v>
      </c>
    </row>
    <row r="96" spans="1:10" ht="15.75" thickBot="1">
      <c r="A96" s="20">
        <v>2</v>
      </c>
      <c r="B96" s="7" t="s">
        <v>23</v>
      </c>
      <c r="C96" s="7" t="s">
        <v>24</v>
      </c>
      <c r="D96" s="7"/>
      <c r="E96" s="8">
        <v>418.596</v>
      </c>
      <c r="F96" s="8">
        <v>72.12</v>
      </c>
      <c r="G96" s="8">
        <v>30189.14</v>
      </c>
      <c r="H96" s="21">
        <v>30189.14</v>
      </c>
      <c r="I96" s="8">
        <v>24000</v>
      </c>
      <c r="J96" s="8">
        <v>25.7881</v>
      </c>
    </row>
    <row r="97" spans="1:10" ht="15.75" thickBot="1">
      <c r="A97" s="20">
        <v>3</v>
      </c>
      <c r="B97" s="7" t="s">
        <v>19</v>
      </c>
      <c r="C97" s="7" t="s">
        <v>20</v>
      </c>
      <c r="D97" s="7"/>
      <c r="E97" s="8">
        <v>301.71499999999997</v>
      </c>
      <c r="F97" s="8">
        <v>73.510000000000005</v>
      </c>
      <c r="G97" s="8">
        <v>22179.07</v>
      </c>
      <c r="H97" s="21">
        <v>22179.07</v>
      </c>
      <c r="I97" s="8">
        <v>19000</v>
      </c>
      <c r="J97" s="8">
        <v>16.73194737</v>
      </c>
    </row>
    <row r="98" spans="1:10" ht="15.75" thickBot="1">
      <c r="A98" s="20">
        <v>4</v>
      </c>
      <c r="B98" s="7" t="s">
        <v>17</v>
      </c>
      <c r="C98" s="7" t="s">
        <v>18</v>
      </c>
      <c r="D98" s="7"/>
      <c r="E98" s="8">
        <v>383.24900000000002</v>
      </c>
      <c r="F98" s="8">
        <v>61.53</v>
      </c>
      <c r="G98" s="8">
        <v>23581.31</v>
      </c>
      <c r="H98" s="21">
        <v>23581.31</v>
      </c>
      <c r="I98" s="8">
        <v>19000</v>
      </c>
      <c r="J98" s="8">
        <v>24.112163160000001</v>
      </c>
    </row>
    <row r="99" spans="1:10" ht="15.75" thickBot="1">
      <c r="A99" s="20">
        <v>5</v>
      </c>
      <c r="B99" s="7" t="s">
        <v>11</v>
      </c>
      <c r="C99" s="7" t="s">
        <v>12</v>
      </c>
      <c r="D99" s="7"/>
      <c r="E99" s="8">
        <v>243.215</v>
      </c>
      <c r="F99" s="8">
        <v>83.49</v>
      </c>
      <c r="G99" s="8">
        <v>20306.02</v>
      </c>
      <c r="H99" s="21">
        <v>20306.02</v>
      </c>
      <c r="I99" s="8">
        <v>19000</v>
      </c>
      <c r="J99" s="8">
        <v>6.8737894739999996</v>
      </c>
    </row>
    <row r="100" spans="1:10" ht="15.75" thickBot="1">
      <c r="A100" s="20">
        <v>6</v>
      </c>
      <c r="B100" s="7" t="s">
        <v>15</v>
      </c>
      <c r="C100" s="38" t="s">
        <v>16</v>
      </c>
      <c r="D100" s="38"/>
      <c r="E100" s="8">
        <v>430.34</v>
      </c>
      <c r="F100" s="8">
        <v>68.81</v>
      </c>
      <c r="G100" s="8">
        <v>29611.7</v>
      </c>
      <c r="H100" s="21">
        <v>29611.7</v>
      </c>
      <c r="I100" s="39">
        <v>25000</v>
      </c>
      <c r="J100" s="8">
        <v>18.44678</v>
      </c>
    </row>
    <row r="101" spans="1:10" ht="15.75" thickBot="1">
      <c r="A101" s="20">
        <v>7</v>
      </c>
      <c r="B101" s="7" t="s">
        <v>13</v>
      </c>
      <c r="C101" s="7" t="s">
        <v>14</v>
      </c>
      <c r="D101" s="7"/>
      <c r="E101" s="8">
        <v>185.47200000000001</v>
      </c>
      <c r="F101" s="8">
        <v>122.79</v>
      </c>
      <c r="G101" s="8">
        <v>22774.11</v>
      </c>
      <c r="H101" s="21">
        <v>22774.11</v>
      </c>
      <c r="I101" s="8">
        <v>19000</v>
      </c>
      <c r="J101" s="8">
        <v>19.863721049999999</v>
      </c>
    </row>
    <row r="102" spans="1:10" ht="15.75" thickBot="1">
      <c r="A102" s="22"/>
      <c r="B102" s="23"/>
      <c r="C102" s="23"/>
      <c r="D102" s="23"/>
      <c r="E102" s="23"/>
      <c r="F102" s="23"/>
      <c r="G102" s="23"/>
      <c r="H102" s="24">
        <v>169492.6</v>
      </c>
      <c r="I102" s="25">
        <v>144000</v>
      </c>
      <c r="J102" s="25">
        <v>17.703191669999999</v>
      </c>
    </row>
    <row r="103" spans="1:10" ht="16.5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17.25" thickBo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15.75" thickBot="1">
      <c r="A105" s="10"/>
      <c r="B105" s="17" t="s">
        <v>25</v>
      </c>
      <c r="C105" s="17"/>
      <c r="D105" s="17"/>
      <c r="E105" s="17"/>
      <c r="F105" s="17"/>
      <c r="G105" s="17"/>
      <c r="H105" s="17"/>
      <c r="I105" s="17"/>
      <c r="J105" s="17"/>
    </row>
    <row r="106" spans="1:10" ht="15.75" thickBot="1">
      <c r="A106" s="20">
        <v>1</v>
      </c>
      <c r="B106" s="7" t="s">
        <v>21</v>
      </c>
      <c r="C106" s="7" t="s">
        <v>22</v>
      </c>
      <c r="D106" s="7"/>
      <c r="E106" s="8">
        <v>483.30399999999997</v>
      </c>
      <c r="F106" s="8">
        <v>46.55</v>
      </c>
      <c r="G106" s="8">
        <v>22497.8</v>
      </c>
      <c r="H106" s="21">
        <v>22497.8</v>
      </c>
      <c r="I106" s="8">
        <v>20000</v>
      </c>
      <c r="J106" s="8">
        <v>12.489005000000001</v>
      </c>
    </row>
    <row r="107" spans="1:10" ht="15.75" thickBot="1">
      <c r="A107" s="20">
        <v>2</v>
      </c>
      <c r="B107" s="7" t="s">
        <v>23</v>
      </c>
      <c r="C107" s="7" t="s">
        <v>24</v>
      </c>
      <c r="D107" s="7"/>
      <c r="E107" s="8">
        <v>432.24299999999999</v>
      </c>
      <c r="F107" s="8">
        <v>73.2</v>
      </c>
      <c r="G107" s="8">
        <v>31640.19</v>
      </c>
      <c r="H107" s="21">
        <v>31640.19</v>
      </c>
      <c r="I107" s="8">
        <v>25000</v>
      </c>
      <c r="J107" s="8">
        <v>26.560752000000001</v>
      </c>
    </row>
    <row r="108" spans="1:10" ht="15.75" thickBot="1">
      <c r="A108" s="20">
        <v>3</v>
      </c>
      <c r="B108" s="7" t="s">
        <v>19</v>
      </c>
      <c r="C108" s="7" t="s">
        <v>20</v>
      </c>
      <c r="D108" s="7"/>
      <c r="E108" s="8">
        <v>314.72800000000001</v>
      </c>
      <c r="F108" s="8">
        <v>77.33</v>
      </c>
      <c r="G108" s="8">
        <v>24337.919999999998</v>
      </c>
      <c r="H108" s="21">
        <v>24337.919999999998</v>
      </c>
      <c r="I108" s="8">
        <v>20000</v>
      </c>
      <c r="J108" s="8">
        <v>21.689579999999999</v>
      </c>
    </row>
    <row r="109" spans="1:10" ht="15.75" thickBot="1">
      <c r="A109" s="20">
        <v>4</v>
      </c>
      <c r="B109" s="7" t="s">
        <v>17</v>
      </c>
      <c r="C109" s="7" t="s">
        <v>18</v>
      </c>
      <c r="D109" s="7"/>
      <c r="E109" s="8">
        <v>399.02100000000002</v>
      </c>
      <c r="F109" s="8">
        <v>63.82</v>
      </c>
      <c r="G109" s="8">
        <v>25465.52</v>
      </c>
      <c r="H109" s="21">
        <v>25465.52</v>
      </c>
      <c r="I109" s="8">
        <v>20000</v>
      </c>
      <c r="J109" s="8">
        <v>27.3276</v>
      </c>
    </row>
    <row r="110" spans="1:10" ht="15.75" thickBot="1">
      <c r="A110" s="20">
        <v>5</v>
      </c>
      <c r="B110" s="7" t="s">
        <v>11</v>
      </c>
      <c r="C110" s="7" t="s">
        <v>12</v>
      </c>
      <c r="D110" s="7"/>
      <c r="E110" s="8">
        <v>255.00700000000001</v>
      </c>
      <c r="F110" s="8">
        <v>86.79</v>
      </c>
      <c r="G110" s="8">
        <v>22132.06</v>
      </c>
      <c r="H110" s="21">
        <v>22132.06</v>
      </c>
      <c r="I110" s="8">
        <v>20000</v>
      </c>
      <c r="J110" s="8">
        <v>10.66029</v>
      </c>
    </row>
    <row r="111" spans="1:10" ht="15.75" thickBot="1">
      <c r="A111" s="20">
        <v>6</v>
      </c>
      <c r="B111" s="7" t="s">
        <v>37</v>
      </c>
      <c r="C111" s="7" t="s">
        <v>38</v>
      </c>
      <c r="D111" s="7"/>
      <c r="E111" s="8">
        <v>8.82</v>
      </c>
      <c r="F111" s="8">
        <v>114.06</v>
      </c>
      <c r="G111" s="7"/>
      <c r="H111" s="21">
        <v>1006.01</v>
      </c>
      <c r="I111" s="8">
        <v>1000</v>
      </c>
      <c r="J111" s="8">
        <v>0.60089999999999999</v>
      </c>
    </row>
    <row r="112" spans="1:10" ht="15.75" thickBot="1">
      <c r="A112" s="20">
        <v>7</v>
      </c>
      <c r="B112" s="7" t="s">
        <v>15</v>
      </c>
      <c r="C112" s="38" t="s">
        <v>16</v>
      </c>
      <c r="D112" s="38"/>
      <c r="E112" s="8">
        <v>444.35</v>
      </c>
      <c r="F112" s="8">
        <v>71.430000000000007</v>
      </c>
      <c r="G112" s="8">
        <v>31739.919999999998</v>
      </c>
      <c r="H112" s="21">
        <v>31739.919999999998</v>
      </c>
      <c r="I112" s="39">
        <v>26000</v>
      </c>
      <c r="J112" s="8">
        <v>22.076619229999999</v>
      </c>
    </row>
    <row r="113" spans="1:10" ht="15.75" thickBot="1">
      <c r="A113" s="20">
        <v>8</v>
      </c>
      <c r="B113" s="7" t="s">
        <v>13</v>
      </c>
      <c r="C113" s="7" t="s">
        <v>14</v>
      </c>
      <c r="D113" s="7"/>
      <c r="E113" s="8">
        <v>193.31899999999999</v>
      </c>
      <c r="F113" s="8">
        <v>128</v>
      </c>
      <c r="G113" s="8">
        <v>24744.83</v>
      </c>
      <c r="H113" s="21">
        <v>24744.83</v>
      </c>
      <c r="I113" s="8">
        <v>20000</v>
      </c>
      <c r="J113" s="8">
        <v>23.724160000000001</v>
      </c>
    </row>
    <row r="114" spans="1:10" ht="15.75" thickBot="1">
      <c r="A114" s="22"/>
      <c r="B114" s="23"/>
      <c r="C114" s="23"/>
      <c r="D114" s="23"/>
      <c r="E114" s="23"/>
      <c r="F114" s="23"/>
      <c r="G114" s="23"/>
      <c r="H114" s="24">
        <v>183564.25</v>
      </c>
      <c r="I114" s="25">
        <v>152000</v>
      </c>
      <c r="J114" s="25">
        <v>20.765950660000001</v>
      </c>
    </row>
    <row r="115" spans="1:10" ht="16.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17.25" thickBo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15.75" thickBot="1">
      <c r="A117" s="10"/>
      <c r="B117" s="17" t="s">
        <v>44</v>
      </c>
      <c r="C117" s="17"/>
      <c r="D117" s="17"/>
      <c r="E117" s="17"/>
      <c r="F117" s="17"/>
      <c r="G117" s="17"/>
      <c r="H117" s="17"/>
      <c r="I117" s="17"/>
      <c r="J117" s="17"/>
    </row>
    <row r="118" spans="1:10" ht="15.75" thickBot="1">
      <c r="A118" s="20">
        <v>1</v>
      </c>
      <c r="B118" s="7" t="s">
        <v>21</v>
      </c>
      <c r="C118" s="7" t="s">
        <v>22</v>
      </c>
      <c r="D118" s="7"/>
      <c r="E118" s="8">
        <v>505.25200000000001</v>
      </c>
      <c r="F118" s="8">
        <v>45.69</v>
      </c>
      <c r="G118" s="8">
        <v>23084.959999999999</v>
      </c>
      <c r="H118" s="21">
        <v>23084.959999999999</v>
      </c>
      <c r="I118" s="8">
        <v>21000</v>
      </c>
      <c r="J118" s="8">
        <v>9.9283999999999999</v>
      </c>
    </row>
    <row r="119" spans="1:10" ht="15.75" thickBot="1">
      <c r="A119" s="20">
        <v>2</v>
      </c>
      <c r="B119" s="7" t="s">
        <v>23</v>
      </c>
      <c r="C119" s="7" t="s">
        <v>24</v>
      </c>
      <c r="D119" s="7"/>
      <c r="E119" s="8">
        <v>445.601</v>
      </c>
      <c r="F119" s="8">
        <v>75.150000000000006</v>
      </c>
      <c r="G119" s="8">
        <v>33486.92</v>
      </c>
      <c r="H119" s="21">
        <v>33486.92</v>
      </c>
      <c r="I119" s="8">
        <v>26000</v>
      </c>
      <c r="J119" s="8">
        <v>28.79582692</v>
      </c>
    </row>
    <row r="120" spans="1:10" ht="15.75" thickBot="1">
      <c r="A120" s="20">
        <v>3</v>
      </c>
      <c r="B120" s="7" t="s">
        <v>19</v>
      </c>
      <c r="C120" s="7" t="s">
        <v>20</v>
      </c>
      <c r="D120" s="7"/>
      <c r="E120" s="8">
        <v>327.70400000000001</v>
      </c>
      <c r="F120" s="8">
        <v>77.36</v>
      </c>
      <c r="G120" s="8">
        <v>25351.18</v>
      </c>
      <c r="H120" s="21">
        <v>25351.18</v>
      </c>
      <c r="I120" s="8">
        <v>21000</v>
      </c>
      <c r="J120" s="8">
        <v>20.719909520000002</v>
      </c>
    </row>
    <row r="121" spans="1:10" ht="15.75" thickBot="1">
      <c r="A121" s="20">
        <v>4</v>
      </c>
      <c r="B121" s="7" t="s">
        <v>17</v>
      </c>
      <c r="C121" s="7" t="s">
        <v>18</v>
      </c>
      <c r="D121" s="7"/>
      <c r="E121" s="8">
        <v>414.37400000000002</v>
      </c>
      <c r="F121" s="8">
        <v>65.2</v>
      </c>
      <c r="G121" s="8">
        <v>27017.18</v>
      </c>
      <c r="H121" s="21">
        <v>27017.19</v>
      </c>
      <c r="I121" s="8">
        <v>21000</v>
      </c>
      <c r="J121" s="8">
        <v>28.6532619</v>
      </c>
    </row>
    <row r="122" spans="1:10" ht="15.75" thickBot="1">
      <c r="A122" s="20">
        <v>5</v>
      </c>
      <c r="B122" s="7" t="s">
        <v>11</v>
      </c>
      <c r="C122" s="7" t="s">
        <v>12</v>
      </c>
      <c r="D122" s="7"/>
      <c r="E122" s="8">
        <v>266.459</v>
      </c>
      <c r="F122" s="8">
        <v>86.93</v>
      </c>
      <c r="G122" s="8">
        <v>23163.279999999999</v>
      </c>
      <c r="H122" s="21">
        <v>23163.279999999999</v>
      </c>
      <c r="I122" s="8">
        <v>21000</v>
      </c>
      <c r="J122" s="8">
        <v>10.301338100000001</v>
      </c>
    </row>
    <row r="123" spans="1:10" ht="15.75" thickBot="1">
      <c r="A123" s="20">
        <v>6</v>
      </c>
      <c r="B123" s="7" t="s">
        <v>37</v>
      </c>
      <c r="C123" s="7" t="s">
        <v>38</v>
      </c>
      <c r="D123" s="7"/>
      <c r="E123" s="8">
        <v>17.388000000000002</v>
      </c>
      <c r="F123" s="8">
        <v>118.44</v>
      </c>
      <c r="G123" s="8">
        <v>2059.4349999999999</v>
      </c>
      <c r="H123" s="21">
        <v>2059.44</v>
      </c>
      <c r="I123" s="8">
        <v>2000</v>
      </c>
      <c r="J123" s="8">
        <v>2.9717500000000001</v>
      </c>
    </row>
    <row r="124" spans="1:10" ht="15.75" thickBot="1">
      <c r="A124" s="20">
        <v>7</v>
      </c>
      <c r="B124" s="7" t="s">
        <v>15</v>
      </c>
      <c r="C124" s="38" t="s">
        <v>16</v>
      </c>
      <c r="D124" s="38"/>
      <c r="E124" s="8">
        <v>458.565</v>
      </c>
      <c r="F124" s="8">
        <v>70.540000000000006</v>
      </c>
      <c r="G124" s="8">
        <v>32347.18</v>
      </c>
      <c r="H124" s="21">
        <v>32347.18</v>
      </c>
      <c r="I124" s="39">
        <v>27000</v>
      </c>
      <c r="J124" s="8">
        <v>19.80435185</v>
      </c>
    </row>
    <row r="125" spans="1:10" ht="15.75" thickBot="1">
      <c r="A125" s="20">
        <v>8</v>
      </c>
      <c r="B125" s="7" t="s">
        <v>13</v>
      </c>
      <c r="C125" s="7" t="s">
        <v>14</v>
      </c>
      <c r="D125" s="7"/>
      <c r="E125" s="8">
        <v>200.947</v>
      </c>
      <c r="F125" s="8">
        <v>131.31</v>
      </c>
      <c r="G125" s="8">
        <v>26386.35</v>
      </c>
      <c r="H125" s="21">
        <v>26386.35</v>
      </c>
      <c r="I125" s="8">
        <v>21000</v>
      </c>
      <c r="J125" s="8">
        <v>25.649290480000001</v>
      </c>
    </row>
    <row r="126" spans="1:10" ht="15.75" thickBot="1">
      <c r="A126" s="22"/>
      <c r="B126" s="23"/>
      <c r="C126" s="23"/>
      <c r="D126" s="23"/>
      <c r="E126" s="23"/>
      <c r="F126" s="23"/>
      <c r="G126" s="23"/>
      <c r="H126" s="24">
        <v>192896.49</v>
      </c>
      <c r="I126" s="25">
        <v>160000</v>
      </c>
      <c r="J126" s="25">
        <v>20.560304380000002</v>
      </c>
    </row>
    <row r="127" spans="1:10" ht="16.5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17.25" thickBo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15.75" thickBot="1">
      <c r="A129" s="10"/>
      <c r="B129" s="17" t="s">
        <v>45</v>
      </c>
      <c r="C129" s="17"/>
      <c r="D129" s="17"/>
      <c r="E129" s="17"/>
      <c r="F129" s="17"/>
      <c r="G129" s="17"/>
      <c r="H129" s="17"/>
      <c r="I129" s="17"/>
      <c r="J129" s="17"/>
    </row>
    <row r="130" spans="1:10" ht="15.75" thickBot="1">
      <c r="A130" s="20">
        <v>1</v>
      </c>
      <c r="B130" s="7" t="s">
        <v>21</v>
      </c>
      <c r="C130" s="7" t="s">
        <v>22</v>
      </c>
      <c r="D130" s="7"/>
      <c r="E130" s="8">
        <v>526.77</v>
      </c>
      <c r="F130" s="8">
        <v>46.67</v>
      </c>
      <c r="G130" s="8">
        <v>24584.36</v>
      </c>
      <c r="H130" s="21">
        <v>24584.36</v>
      </c>
      <c r="I130" s="8">
        <v>22000</v>
      </c>
      <c r="J130" s="8">
        <v>11.747072729999999</v>
      </c>
    </row>
    <row r="131" spans="1:10" ht="15.75" thickBot="1">
      <c r="A131" s="20">
        <v>2</v>
      </c>
      <c r="B131" s="7" t="s">
        <v>23</v>
      </c>
      <c r="C131" s="7" t="s">
        <v>24</v>
      </c>
      <c r="D131" s="7"/>
      <c r="E131" s="8">
        <v>458.59399999999999</v>
      </c>
      <c r="F131" s="8">
        <v>77.55</v>
      </c>
      <c r="G131" s="8">
        <v>35563.96</v>
      </c>
      <c r="H131" s="21">
        <v>35563.97</v>
      </c>
      <c r="I131" s="8">
        <v>27000</v>
      </c>
      <c r="J131" s="8">
        <v>31.71838889</v>
      </c>
    </row>
    <row r="132" spans="1:10" ht="15.75" thickBot="1">
      <c r="A132" s="20">
        <v>3</v>
      </c>
      <c r="B132" s="7" t="s">
        <v>19</v>
      </c>
      <c r="C132" s="7" t="s">
        <v>20</v>
      </c>
      <c r="D132" s="7"/>
      <c r="E132" s="8">
        <v>340.358</v>
      </c>
      <c r="F132" s="8">
        <v>79.23</v>
      </c>
      <c r="G132" s="8">
        <v>26966.560000000001</v>
      </c>
      <c r="H132" s="21">
        <v>26966.560000000001</v>
      </c>
      <c r="I132" s="8">
        <v>22000</v>
      </c>
      <c r="J132" s="8">
        <v>22.57529091</v>
      </c>
    </row>
    <row r="133" spans="1:10" ht="15.75" thickBot="1">
      <c r="A133" s="20">
        <v>4</v>
      </c>
      <c r="B133" s="7" t="s">
        <v>17</v>
      </c>
      <c r="C133" s="7" t="s">
        <v>18</v>
      </c>
      <c r="D133" s="7"/>
      <c r="E133" s="8">
        <v>429.334</v>
      </c>
      <c r="F133" s="8">
        <v>67.319999999999993</v>
      </c>
      <c r="G133" s="8">
        <v>28902.76</v>
      </c>
      <c r="H133" s="21">
        <v>28902.77</v>
      </c>
      <c r="I133" s="8">
        <v>22000</v>
      </c>
      <c r="J133" s="8">
        <v>31.376204550000001</v>
      </c>
    </row>
    <row r="134" spans="1:10" ht="15.75" thickBot="1">
      <c r="A134" s="20">
        <v>5</v>
      </c>
      <c r="B134" s="7" t="s">
        <v>11</v>
      </c>
      <c r="C134" s="7" t="s">
        <v>12</v>
      </c>
      <c r="D134" s="7"/>
      <c r="E134" s="8">
        <v>277.69099999999997</v>
      </c>
      <c r="F134" s="8">
        <v>87.85</v>
      </c>
      <c r="G134" s="8">
        <v>24395.15</v>
      </c>
      <c r="H134" s="21">
        <v>24395.15</v>
      </c>
      <c r="I134" s="8">
        <v>22000</v>
      </c>
      <c r="J134" s="8">
        <v>10.887063639999999</v>
      </c>
    </row>
    <row r="135" spans="1:10" ht="15.75" thickBot="1">
      <c r="A135" s="20">
        <v>6</v>
      </c>
      <c r="B135" s="7" t="s">
        <v>37</v>
      </c>
      <c r="C135" s="7" t="s">
        <v>38</v>
      </c>
      <c r="D135" s="7"/>
      <c r="E135" s="8">
        <v>25.631</v>
      </c>
      <c r="F135" s="8">
        <v>122.59</v>
      </c>
      <c r="G135" s="8">
        <v>3142.1039999999998</v>
      </c>
      <c r="H135" s="21">
        <v>3142.1</v>
      </c>
      <c r="I135" s="8">
        <v>3000</v>
      </c>
      <c r="J135" s="8">
        <v>4.7367999999999997</v>
      </c>
    </row>
    <row r="136" spans="1:10" ht="15.75" thickBot="1">
      <c r="A136" s="20">
        <v>7</v>
      </c>
      <c r="B136" s="7" t="s">
        <v>15</v>
      </c>
      <c r="C136" s="38" t="s">
        <v>16</v>
      </c>
      <c r="D136" s="38"/>
      <c r="E136" s="8">
        <v>472.57799999999997</v>
      </c>
      <c r="F136" s="8">
        <v>71.75</v>
      </c>
      <c r="G136" s="8">
        <v>33907.47</v>
      </c>
      <c r="H136" s="21">
        <v>33907.47</v>
      </c>
      <c r="I136" s="39">
        <v>28000</v>
      </c>
      <c r="J136" s="8">
        <v>21.098114290000002</v>
      </c>
    </row>
    <row r="137" spans="1:10" ht="15.75" thickBot="1">
      <c r="A137" s="20">
        <v>8</v>
      </c>
      <c r="B137" s="7" t="s">
        <v>13</v>
      </c>
      <c r="C137" s="7" t="s">
        <v>14</v>
      </c>
      <c r="D137" s="7"/>
      <c r="E137" s="8">
        <v>208.38800000000001</v>
      </c>
      <c r="F137" s="8">
        <v>134.81</v>
      </c>
      <c r="G137" s="8">
        <v>28092.79</v>
      </c>
      <c r="H137" s="21">
        <v>28092.79</v>
      </c>
      <c r="I137" s="8">
        <v>22000</v>
      </c>
      <c r="J137" s="8">
        <v>27.69448182</v>
      </c>
    </row>
    <row r="138" spans="1:10" ht="15.75" thickBot="1">
      <c r="A138" s="22"/>
      <c r="B138" s="23"/>
      <c r="C138" s="23"/>
      <c r="D138" s="23"/>
      <c r="E138" s="23"/>
      <c r="F138" s="23"/>
      <c r="G138" s="23"/>
      <c r="H138" s="24">
        <v>205555.17</v>
      </c>
      <c r="I138" s="25">
        <v>168000</v>
      </c>
      <c r="J138" s="25">
        <v>22.354265479999999</v>
      </c>
    </row>
    <row r="139" spans="1:10" ht="16.5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17.25" thickBo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15.75" thickBot="1">
      <c r="A141" s="10"/>
      <c r="B141" s="17" t="s">
        <v>46</v>
      </c>
      <c r="C141" s="17"/>
      <c r="D141" s="17"/>
      <c r="E141" s="17"/>
      <c r="F141" s="17"/>
      <c r="G141" s="17"/>
      <c r="H141" s="17"/>
      <c r="I141" s="17"/>
      <c r="J141" s="17"/>
    </row>
    <row r="142" spans="1:10" ht="15.75" thickBot="1">
      <c r="A142" s="20">
        <v>1</v>
      </c>
      <c r="B142" s="7" t="s">
        <v>21</v>
      </c>
      <c r="C142" s="7" t="s">
        <v>22</v>
      </c>
      <c r="D142" s="7"/>
      <c r="E142" s="8">
        <v>548.45100000000002</v>
      </c>
      <c r="F142" s="8">
        <v>45.07</v>
      </c>
      <c r="G142" s="8">
        <v>24718.69</v>
      </c>
      <c r="H142" s="21">
        <v>24718.69</v>
      </c>
      <c r="I142" s="8">
        <v>23000</v>
      </c>
      <c r="J142" s="8">
        <v>7.4725521739999996</v>
      </c>
    </row>
    <row r="143" spans="1:10" ht="15.75" thickBot="1">
      <c r="A143" s="20">
        <v>2</v>
      </c>
      <c r="B143" s="7" t="s">
        <v>23</v>
      </c>
      <c r="C143" s="7" t="s">
        <v>24</v>
      </c>
      <c r="D143" s="7"/>
      <c r="E143" s="8">
        <v>471.68599999999998</v>
      </c>
      <c r="F143" s="8">
        <v>75.34</v>
      </c>
      <c r="G143" s="8">
        <v>35536.82</v>
      </c>
      <c r="H143" s="21">
        <v>35536.82</v>
      </c>
      <c r="I143" s="8">
        <v>28000</v>
      </c>
      <c r="J143" s="8">
        <v>26.917224999999998</v>
      </c>
    </row>
    <row r="144" spans="1:10" ht="15.75" thickBot="1">
      <c r="A144" s="20">
        <v>3</v>
      </c>
      <c r="B144" s="7" t="s">
        <v>19</v>
      </c>
      <c r="C144" s="7" t="s">
        <v>20</v>
      </c>
      <c r="D144" s="7"/>
      <c r="E144" s="8">
        <v>353.19799999999998</v>
      </c>
      <c r="F144" s="8">
        <v>76.510000000000005</v>
      </c>
      <c r="G144" s="8">
        <v>27023.18</v>
      </c>
      <c r="H144" s="21">
        <v>27023.18</v>
      </c>
      <c r="I144" s="8">
        <v>23000</v>
      </c>
      <c r="J144" s="8">
        <v>17.492082610000001</v>
      </c>
    </row>
    <row r="145" spans="1:10" ht="15.75" thickBot="1">
      <c r="A145" s="20">
        <v>4</v>
      </c>
      <c r="B145" s="7" t="s">
        <v>17</v>
      </c>
      <c r="C145" s="7" t="s">
        <v>18</v>
      </c>
      <c r="D145" s="7"/>
      <c r="E145" s="8">
        <v>444.44600000000003</v>
      </c>
      <c r="F145" s="8">
        <v>65.260000000000005</v>
      </c>
      <c r="G145" s="8">
        <v>29004.55</v>
      </c>
      <c r="H145" s="21">
        <v>29004.55</v>
      </c>
      <c r="I145" s="8">
        <v>23000</v>
      </c>
      <c r="J145" s="8">
        <v>26.106721740000001</v>
      </c>
    </row>
    <row r="146" spans="1:10" ht="15.75" thickBot="1">
      <c r="A146" s="20">
        <v>5</v>
      </c>
      <c r="B146" s="7" t="s">
        <v>11</v>
      </c>
      <c r="C146" s="7" t="s">
        <v>12</v>
      </c>
      <c r="D146" s="7"/>
      <c r="E146" s="8">
        <v>289.18900000000002</v>
      </c>
      <c r="F146" s="8">
        <v>83.89</v>
      </c>
      <c r="G146" s="8">
        <v>24260.07</v>
      </c>
      <c r="H146" s="21">
        <v>24260.07</v>
      </c>
      <c r="I146" s="8">
        <v>23000</v>
      </c>
      <c r="J146" s="8">
        <v>5.4785434779999997</v>
      </c>
    </row>
    <row r="147" spans="1:10" ht="15.75" thickBot="1">
      <c r="A147" s="20">
        <v>6</v>
      </c>
      <c r="B147" s="7" t="s">
        <v>37</v>
      </c>
      <c r="C147" s="7" t="s">
        <v>38</v>
      </c>
      <c r="D147" s="7"/>
      <c r="E147" s="8">
        <v>33.978000000000002</v>
      </c>
      <c r="F147" s="8">
        <v>118.41</v>
      </c>
      <c r="G147" s="8">
        <v>4023.335</v>
      </c>
      <c r="H147" s="21">
        <v>4023.34</v>
      </c>
      <c r="I147" s="8">
        <v>4000</v>
      </c>
      <c r="J147" s="8">
        <v>0.58337499999999998</v>
      </c>
    </row>
    <row r="148" spans="1:10" ht="15.75" thickBot="1">
      <c r="A148" s="20">
        <v>7</v>
      </c>
      <c r="B148" s="7" t="s">
        <v>15</v>
      </c>
      <c r="C148" s="38" t="s">
        <v>16</v>
      </c>
      <c r="D148" s="38"/>
      <c r="E148" s="8">
        <v>486.79899999999998</v>
      </c>
      <c r="F148" s="8">
        <v>69</v>
      </c>
      <c r="G148" s="8">
        <v>33589.129999999997</v>
      </c>
      <c r="H148" s="21">
        <v>33589.129999999997</v>
      </c>
      <c r="I148" s="39">
        <v>29000</v>
      </c>
      <c r="J148" s="8">
        <v>15.824589659999999</v>
      </c>
    </row>
    <row r="149" spans="1:10" ht="15.75" thickBot="1">
      <c r="A149" s="20">
        <v>8</v>
      </c>
      <c r="B149" s="7" t="s">
        <v>13</v>
      </c>
      <c r="C149" s="7" t="s">
        <v>14</v>
      </c>
      <c r="D149" s="7"/>
      <c r="E149" s="8">
        <v>215.99799999999999</v>
      </c>
      <c r="F149" s="8">
        <v>129.11000000000001</v>
      </c>
      <c r="G149" s="8">
        <v>27887.5</v>
      </c>
      <c r="H149" s="21">
        <v>27887.5</v>
      </c>
      <c r="I149" s="8">
        <v>23000</v>
      </c>
      <c r="J149" s="8">
        <v>21.250008699999999</v>
      </c>
    </row>
    <row r="150" spans="1:10" ht="15.75" thickBot="1">
      <c r="A150" s="22"/>
      <c r="B150" s="23"/>
      <c r="C150" s="23"/>
      <c r="D150" s="23"/>
      <c r="E150" s="23"/>
      <c r="F150" s="23"/>
      <c r="G150" s="23"/>
      <c r="H150" s="24">
        <v>206043.27</v>
      </c>
      <c r="I150" s="25">
        <v>176000</v>
      </c>
      <c r="J150" s="25">
        <v>17.07003864</v>
      </c>
    </row>
    <row r="151" spans="1:10" ht="16.5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17.25" thickBo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15.75" thickBot="1">
      <c r="A153" s="10"/>
      <c r="B153" s="17" t="s">
        <v>47</v>
      </c>
      <c r="C153" s="17"/>
      <c r="D153" s="17"/>
      <c r="E153" s="17"/>
      <c r="F153" s="17"/>
      <c r="G153" s="17"/>
      <c r="H153" s="17"/>
      <c r="I153" s="17"/>
      <c r="J153" s="17"/>
    </row>
    <row r="154" spans="1:10" ht="15.75" thickBot="1">
      <c r="A154" s="20">
        <v>1</v>
      </c>
      <c r="B154" s="7" t="s">
        <v>21</v>
      </c>
      <c r="C154" s="7" t="s">
        <v>22</v>
      </c>
      <c r="D154" s="7"/>
      <c r="E154" s="8">
        <v>569.654</v>
      </c>
      <c r="F154" s="8">
        <v>47.1</v>
      </c>
      <c r="G154" s="8">
        <v>26830.7</v>
      </c>
      <c r="H154" s="21">
        <v>26830.7</v>
      </c>
      <c r="I154" s="8">
        <v>24000</v>
      </c>
      <c r="J154" s="8">
        <v>11.79459583</v>
      </c>
    </row>
    <row r="155" spans="1:10" ht="15.75" thickBot="1">
      <c r="A155" s="20">
        <v>2</v>
      </c>
      <c r="B155" s="7" t="s">
        <v>23</v>
      </c>
      <c r="C155" s="7" t="s">
        <v>24</v>
      </c>
      <c r="D155" s="7"/>
      <c r="E155" s="8">
        <v>483.89100000000002</v>
      </c>
      <c r="F155" s="8">
        <v>81.599999999999994</v>
      </c>
      <c r="G155" s="8">
        <v>39485.51</v>
      </c>
      <c r="H155" s="21">
        <v>39485.51</v>
      </c>
      <c r="I155" s="8">
        <v>29000</v>
      </c>
      <c r="J155" s="8">
        <v>36.156917239999999</v>
      </c>
    </row>
    <row r="156" spans="1:10" ht="15.75" thickBot="1">
      <c r="A156" s="20">
        <v>3</v>
      </c>
      <c r="B156" s="7" t="s">
        <v>19</v>
      </c>
      <c r="C156" s="7" t="s">
        <v>20</v>
      </c>
      <c r="D156" s="7"/>
      <c r="E156" s="8">
        <v>365.52499999999998</v>
      </c>
      <c r="F156" s="8">
        <v>81.12</v>
      </c>
      <c r="G156" s="8">
        <v>29651.39</v>
      </c>
      <c r="H156" s="21">
        <v>29651.39</v>
      </c>
      <c r="I156" s="8">
        <v>24000</v>
      </c>
      <c r="J156" s="8">
        <v>23.547450000000001</v>
      </c>
    </row>
    <row r="157" spans="1:10" ht="15.75" thickBot="1">
      <c r="A157" s="20">
        <v>4</v>
      </c>
      <c r="B157" s="7" t="s">
        <v>17</v>
      </c>
      <c r="C157" s="7" t="s">
        <v>18</v>
      </c>
      <c r="D157" s="7"/>
      <c r="E157" s="8">
        <v>458.77800000000002</v>
      </c>
      <c r="F157" s="8">
        <v>69.67</v>
      </c>
      <c r="G157" s="8">
        <v>31963.06</v>
      </c>
      <c r="H157" s="21">
        <v>31963.06</v>
      </c>
      <c r="I157" s="8">
        <v>24000</v>
      </c>
      <c r="J157" s="8">
        <v>33.179429169999999</v>
      </c>
    </row>
    <row r="158" spans="1:10" ht="15.75" thickBot="1">
      <c r="A158" s="20">
        <v>5</v>
      </c>
      <c r="B158" s="7" t="s">
        <v>11</v>
      </c>
      <c r="C158" s="7" t="s">
        <v>12</v>
      </c>
      <c r="D158" s="7"/>
      <c r="E158" s="8">
        <v>300.738</v>
      </c>
      <c r="F158" s="8">
        <v>88.22</v>
      </c>
      <c r="G158" s="8">
        <v>26531.11</v>
      </c>
      <c r="H158" s="21">
        <v>26531.11</v>
      </c>
      <c r="I158" s="8">
        <v>24000</v>
      </c>
      <c r="J158" s="8">
        <v>10.546275</v>
      </c>
    </row>
    <row r="159" spans="1:10" ht="15.75" thickBot="1">
      <c r="A159" s="20">
        <v>6</v>
      </c>
      <c r="B159" s="7" t="s">
        <v>37</v>
      </c>
      <c r="C159" s="7" t="s">
        <v>38</v>
      </c>
      <c r="D159" s="7"/>
      <c r="E159" s="8">
        <v>41.765999999999998</v>
      </c>
      <c r="F159" s="8">
        <v>128.9</v>
      </c>
      <c r="G159" s="8">
        <v>5383.6369999999997</v>
      </c>
      <c r="H159" s="21">
        <v>5383.64</v>
      </c>
      <c r="I159" s="8">
        <v>4000</v>
      </c>
      <c r="J159" s="8">
        <v>34.590924999999999</v>
      </c>
    </row>
    <row r="160" spans="1:10" ht="15.75" thickBot="1">
      <c r="A160" s="20">
        <v>7</v>
      </c>
      <c r="B160" s="7" t="s">
        <v>15</v>
      </c>
      <c r="C160" s="38" t="s">
        <v>16</v>
      </c>
      <c r="D160" s="38"/>
      <c r="E160" s="8">
        <v>500.66800000000001</v>
      </c>
      <c r="F160" s="8">
        <v>72.040000000000006</v>
      </c>
      <c r="G160" s="8">
        <v>36068.120000000003</v>
      </c>
      <c r="H160" s="21">
        <v>36068.120000000003</v>
      </c>
      <c r="I160" s="39">
        <v>30000</v>
      </c>
      <c r="J160" s="8">
        <v>20.227076669999999</v>
      </c>
    </row>
    <row r="161" spans="1:10" ht="15.75" thickBot="1">
      <c r="A161" s="20">
        <v>8</v>
      </c>
      <c r="B161" s="7" t="s">
        <v>13</v>
      </c>
      <c r="C161" s="7" t="s">
        <v>14</v>
      </c>
      <c r="D161" s="7"/>
      <c r="E161" s="8">
        <v>223.298</v>
      </c>
      <c r="F161" s="8">
        <v>136.94</v>
      </c>
      <c r="G161" s="8">
        <v>30578.43</v>
      </c>
      <c r="H161" s="21">
        <v>30578.43</v>
      </c>
      <c r="I161" s="8">
        <v>24000</v>
      </c>
      <c r="J161" s="8">
        <v>27.410116670000001</v>
      </c>
    </row>
    <row r="162" spans="1:10" ht="15.75" thickBot="1">
      <c r="A162" s="22"/>
      <c r="B162" s="23"/>
      <c r="C162" s="23"/>
      <c r="D162" s="23"/>
      <c r="E162" s="23"/>
      <c r="F162" s="23"/>
      <c r="G162" s="23"/>
      <c r="H162" s="24">
        <v>226491.95</v>
      </c>
      <c r="I162" s="25">
        <v>183000</v>
      </c>
      <c r="J162" s="25">
        <v>23.766095079999999</v>
      </c>
    </row>
    <row r="163" spans="1:10" ht="16.5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17.25" thickBo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15.75" thickBot="1">
      <c r="A165" s="10"/>
      <c r="B165" s="17" t="s">
        <v>48</v>
      </c>
      <c r="C165" s="17"/>
      <c r="D165" s="17"/>
      <c r="E165" s="17"/>
      <c r="F165" s="17"/>
      <c r="G165" s="17"/>
      <c r="H165" s="17"/>
      <c r="I165" s="17"/>
      <c r="J165" s="17"/>
    </row>
    <row r="166" spans="1:10" ht="15.75" thickBot="1">
      <c r="A166" s="20">
        <v>1</v>
      </c>
      <c r="B166" s="7" t="s">
        <v>21</v>
      </c>
      <c r="C166" s="7" t="s">
        <v>22</v>
      </c>
      <c r="D166" s="7"/>
      <c r="E166" s="8">
        <v>589.51</v>
      </c>
      <c r="F166" s="8">
        <v>51.19</v>
      </c>
      <c r="G166" s="8">
        <v>30177.02</v>
      </c>
      <c r="H166" s="21">
        <v>30177.02</v>
      </c>
      <c r="I166" s="8">
        <v>25000</v>
      </c>
      <c r="J166" s="8">
        <v>20.708068000000001</v>
      </c>
    </row>
    <row r="167" spans="1:10" ht="15.75" thickBot="1">
      <c r="A167" s="20">
        <v>2</v>
      </c>
      <c r="B167" s="7" t="s">
        <v>23</v>
      </c>
      <c r="C167" s="7" t="s">
        <v>24</v>
      </c>
      <c r="D167" s="7"/>
      <c r="E167" s="8">
        <v>495.69</v>
      </c>
      <c r="F167" s="8">
        <v>85.09</v>
      </c>
      <c r="G167" s="8">
        <v>42178.26</v>
      </c>
      <c r="H167" s="21">
        <v>42178.26</v>
      </c>
      <c r="I167" s="8">
        <v>30000</v>
      </c>
      <c r="J167" s="8">
        <v>40.594206669999998</v>
      </c>
    </row>
    <row r="168" spans="1:10" ht="15.75" thickBot="1">
      <c r="A168" s="20">
        <v>3</v>
      </c>
      <c r="B168" s="7" t="s">
        <v>19</v>
      </c>
      <c r="C168" s="7" t="s">
        <v>20</v>
      </c>
      <c r="D168" s="7"/>
      <c r="E168" s="8">
        <v>377.00299999999999</v>
      </c>
      <c r="F168" s="8">
        <v>88.96</v>
      </c>
      <c r="G168" s="8">
        <v>33538.19</v>
      </c>
      <c r="H168" s="21">
        <v>33538.19</v>
      </c>
      <c r="I168" s="8">
        <v>25000</v>
      </c>
      <c r="J168" s="8">
        <v>34.152748000000003</v>
      </c>
    </row>
    <row r="169" spans="1:10" ht="15.75" thickBot="1">
      <c r="A169" s="20">
        <v>4</v>
      </c>
      <c r="B169" s="7" t="s">
        <v>17</v>
      </c>
      <c r="C169" s="7" t="s">
        <v>18</v>
      </c>
      <c r="D169" s="7"/>
      <c r="E169" s="8">
        <v>472.36200000000002</v>
      </c>
      <c r="F169" s="8">
        <v>73.97</v>
      </c>
      <c r="G169" s="8">
        <v>34940.620000000003</v>
      </c>
      <c r="H169" s="21">
        <v>34940.620000000003</v>
      </c>
      <c r="I169" s="8">
        <v>25000</v>
      </c>
      <c r="J169" s="8">
        <v>39.762467999999998</v>
      </c>
    </row>
    <row r="170" spans="1:10" ht="15.75" thickBot="1">
      <c r="A170" s="20">
        <v>5</v>
      </c>
      <c r="B170" s="7" t="s">
        <v>11</v>
      </c>
      <c r="C170" s="7" t="s">
        <v>12</v>
      </c>
      <c r="D170" s="7"/>
      <c r="E170" s="8">
        <v>311.54000000000002</v>
      </c>
      <c r="F170" s="8">
        <v>94.97</v>
      </c>
      <c r="G170" s="8">
        <v>29586.95</v>
      </c>
      <c r="H170" s="21">
        <v>29586.95</v>
      </c>
      <c r="I170" s="8">
        <v>25000</v>
      </c>
      <c r="J170" s="8">
        <v>18.347816000000002</v>
      </c>
    </row>
    <row r="171" spans="1:10" ht="15.75" thickBot="1">
      <c r="A171" s="20">
        <v>6</v>
      </c>
      <c r="B171" s="7" t="s">
        <v>37</v>
      </c>
      <c r="C171" s="7" t="s">
        <v>38</v>
      </c>
      <c r="D171" s="7"/>
      <c r="E171" s="8">
        <v>49.146000000000001</v>
      </c>
      <c r="F171" s="8">
        <v>137.62</v>
      </c>
      <c r="G171" s="8">
        <v>6763.473</v>
      </c>
      <c r="H171" s="21">
        <v>6763.47</v>
      </c>
      <c r="I171" s="8">
        <v>5000</v>
      </c>
      <c r="J171" s="8">
        <v>35.269460000000002</v>
      </c>
    </row>
    <row r="172" spans="1:10" ht="15.75" thickBot="1">
      <c r="A172" s="20">
        <v>7</v>
      </c>
      <c r="B172" s="7" t="s">
        <v>15</v>
      </c>
      <c r="C172" s="38" t="s">
        <v>16</v>
      </c>
      <c r="D172" s="38"/>
      <c r="E172" s="8">
        <v>513.73299999999995</v>
      </c>
      <c r="F172" s="8">
        <v>77.98</v>
      </c>
      <c r="G172" s="8">
        <v>40060.9</v>
      </c>
      <c r="H172" s="21">
        <v>40060.9</v>
      </c>
      <c r="I172" s="39">
        <v>31000</v>
      </c>
      <c r="J172" s="8">
        <v>29.228706450000001</v>
      </c>
    </row>
    <row r="173" spans="1:10" ht="15.75" thickBot="1">
      <c r="A173" s="20">
        <v>8</v>
      </c>
      <c r="B173" s="7" t="s">
        <v>13</v>
      </c>
      <c r="C173" s="7" t="s">
        <v>14</v>
      </c>
      <c r="D173" s="7"/>
      <c r="E173" s="8">
        <v>230.38499999999999</v>
      </c>
      <c r="F173" s="8">
        <v>141.75</v>
      </c>
      <c r="G173" s="8">
        <v>32657.07</v>
      </c>
      <c r="H173" s="21">
        <v>32657.07</v>
      </c>
      <c r="I173" s="8">
        <v>25000</v>
      </c>
      <c r="J173" s="8">
        <v>30.628295999999999</v>
      </c>
    </row>
    <row r="174" spans="1:10" ht="15.75" thickBot="1">
      <c r="A174" s="22"/>
      <c r="B174" s="23"/>
      <c r="C174" s="23"/>
      <c r="D174" s="23"/>
      <c r="E174" s="23"/>
      <c r="F174" s="23"/>
      <c r="G174" s="23"/>
      <c r="H174" s="24">
        <v>249902.48</v>
      </c>
      <c r="I174" s="25">
        <v>191000</v>
      </c>
      <c r="J174" s="25">
        <v>30.838996340000001</v>
      </c>
    </row>
    <row r="175" spans="1:10" ht="16.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16.5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17.25" thickBo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15.75" thickBot="1">
      <c r="A178" s="10"/>
      <c r="B178" s="17" t="s">
        <v>49</v>
      </c>
      <c r="C178" s="17"/>
      <c r="D178" s="17"/>
      <c r="E178" s="17"/>
      <c r="F178" s="17"/>
      <c r="G178" s="17"/>
      <c r="H178" s="17"/>
      <c r="I178" s="17"/>
      <c r="J178" s="17"/>
    </row>
    <row r="179" spans="1:10" ht="15.75" thickBot="1">
      <c r="A179" s="20">
        <v>1</v>
      </c>
      <c r="B179" s="7" t="s">
        <v>21</v>
      </c>
      <c r="C179" s="7" t="s">
        <v>22</v>
      </c>
      <c r="D179" s="7"/>
      <c r="E179" s="8">
        <v>609.39</v>
      </c>
      <c r="F179" s="8">
        <v>50.3</v>
      </c>
      <c r="G179" s="8">
        <v>30652.32</v>
      </c>
      <c r="H179" s="21">
        <v>30652.32</v>
      </c>
      <c r="I179" s="8">
        <v>26000</v>
      </c>
      <c r="J179" s="8">
        <v>17.893526919999999</v>
      </c>
    </row>
    <row r="180" spans="1:10" ht="15.75" thickBot="1">
      <c r="A180" s="20">
        <v>2</v>
      </c>
      <c r="B180" s="7" t="s">
        <v>23</v>
      </c>
      <c r="C180" s="7" t="s">
        <v>24</v>
      </c>
      <c r="D180" s="7"/>
      <c r="E180" s="8">
        <v>507.39600000000002</v>
      </c>
      <c r="F180" s="8">
        <v>85.42</v>
      </c>
      <c r="G180" s="8">
        <v>43341.77</v>
      </c>
      <c r="H180" s="21">
        <v>43341.77</v>
      </c>
      <c r="I180" s="8">
        <v>31000</v>
      </c>
      <c r="J180" s="8">
        <v>39.812148389999997</v>
      </c>
    </row>
    <row r="181" spans="1:10" ht="15.75" thickBot="1">
      <c r="A181" s="20">
        <v>3</v>
      </c>
      <c r="B181" s="7" t="s">
        <v>19</v>
      </c>
      <c r="C181" s="7" t="s">
        <v>20</v>
      </c>
      <c r="D181" s="7"/>
      <c r="E181" s="8">
        <v>388.214</v>
      </c>
      <c r="F181" s="8">
        <v>89.19</v>
      </c>
      <c r="G181" s="8">
        <v>34624.81</v>
      </c>
      <c r="H181" s="21">
        <v>34624.81</v>
      </c>
      <c r="I181" s="8">
        <v>26000</v>
      </c>
      <c r="J181" s="8">
        <v>33.172334620000001</v>
      </c>
    </row>
    <row r="182" spans="1:10" ht="15.75" thickBot="1">
      <c r="A182" s="20">
        <v>4</v>
      </c>
      <c r="B182" s="7" t="s">
        <v>17</v>
      </c>
      <c r="C182" s="7" t="s">
        <v>18</v>
      </c>
      <c r="D182" s="7"/>
      <c r="E182" s="8">
        <v>485.77300000000002</v>
      </c>
      <c r="F182" s="8">
        <v>74.56</v>
      </c>
      <c r="G182" s="8">
        <v>36219.230000000003</v>
      </c>
      <c r="H182" s="21">
        <v>36219.24</v>
      </c>
      <c r="I182" s="8">
        <v>26000</v>
      </c>
      <c r="J182" s="8">
        <v>39.304749999999999</v>
      </c>
    </row>
    <row r="183" spans="1:10" ht="15.75" thickBot="1">
      <c r="A183" s="20">
        <v>5</v>
      </c>
      <c r="B183" s="7" t="s">
        <v>11</v>
      </c>
      <c r="C183" s="7" t="s">
        <v>12</v>
      </c>
      <c r="D183" s="7"/>
      <c r="E183" s="8">
        <v>322.17500000000001</v>
      </c>
      <c r="F183" s="8">
        <v>93.12</v>
      </c>
      <c r="G183" s="8">
        <v>30000.94</v>
      </c>
      <c r="H183" s="21">
        <v>30000.94</v>
      </c>
      <c r="I183" s="8">
        <v>26000</v>
      </c>
      <c r="J183" s="8">
        <v>15.38821538</v>
      </c>
    </row>
    <row r="184" spans="1:10" ht="15.75" thickBot="1">
      <c r="A184" s="20">
        <v>6</v>
      </c>
      <c r="B184" s="7" t="s">
        <v>37</v>
      </c>
      <c r="C184" s="7" t="s">
        <v>38</v>
      </c>
      <c r="D184" s="7"/>
      <c r="E184" s="8">
        <v>56.399000000000001</v>
      </c>
      <c r="F184" s="8">
        <v>137.87</v>
      </c>
      <c r="G184" s="8">
        <v>7775.73</v>
      </c>
      <c r="H184" s="21">
        <v>7775.73</v>
      </c>
      <c r="I184" s="8">
        <v>6000</v>
      </c>
      <c r="J184" s="8">
        <v>29.595500000000001</v>
      </c>
    </row>
    <row r="185" spans="1:10" ht="15.75" thickBot="1">
      <c r="A185" s="20">
        <v>7</v>
      </c>
      <c r="B185" s="7" t="s">
        <v>15</v>
      </c>
      <c r="C185" s="38" t="s">
        <v>16</v>
      </c>
      <c r="D185" s="38"/>
      <c r="E185" s="8">
        <v>526.87300000000005</v>
      </c>
      <c r="F185" s="8">
        <v>76.099999999999994</v>
      </c>
      <c r="G185" s="8">
        <v>40095.040000000001</v>
      </c>
      <c r="H185" s="21">
        <v>40095.040000000001</v>
      </c>
      <c r="I185" s="39">
        <v>32000</v>
      </c>
      <c r="J185" s="8">
        <v>25.296984380000001</v>
      </c>
    </row>
    <row r="186" spans="1:10" ht="15.75" thickBot="1">
      <c r="A186" s="20">
        <v>8</v>
      </c>
      <c r="B186" s="7" t="s">
        <v>13</v>
      </c>
      <c r="C186" s="7" t="s">
        <v>14</v>
      </c>
      <c r="D186" s="7"/>
      <c r="E186" s="8">
        <v>237.393</v>
      </c>
      <c r="F186" s="8">
        <v>142.69</v>
      </c>
      <c r="G186" s="8">
        <v>33873.61</v>
      </c>
      <c r="H186" s="21">
        <v>33873.61</v>
      </c>
      <c r="I186" s="8">
        <v>26000</v>
      </c>
      <c r="J186" s="8">
        <v>30.28310385</v>
      </c>
    </row>
    <row r="187" spans="1:10" ht="15.75" thickBot="1">
      <c r="A187" s="22"/>
      <c r="B187" s="23"/>
      <c r="C187" s="23"/>
      <c r="D187" s="23"/>
      <c r="E187" s="23"/>
      <c r="F187" s="23"/>
      <c r="G187" s="23"/>
      <c r="H187" s="24">
        <v>256583.43</v>
      </c>
      <c r="I187" s="25">
        <v>199000</v>
      </c>
      <c r="J187" s="25">
        <v>28.936398489999998</v>
      </c>
    </row>
    <row r="188" spans="1:10" ht="16.5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16.5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17.25" thickBo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15.75" thickBot="1">
      <c r="A191" s="10"/>
      <c r="B191" s="17" t="s">
        <v>50</v>
      </c>
      <c r="C191" s="17"/>
      <c r="D191" s="17"/>
      <c r="E191" s="17"/>
      <c r="F191" s="17"/>
      <c r="G191" s="17"/>
      <c r="H191" s="17"/>
      <c r="I191" s="17"/>
      <c r="J191" s="17"/>
    </row>
    <row r="192" spans="1:10" ht="15.75" thickBot="1">
      <c r="A192" s="20">
        <v>1</v>
      </c>
      <c r="B192" s="7" t="s">
        <v>21</v>
      </c>
      <c r="C192" s="7" t="s">
        <v>22</v>
      </c>
      <c r="D192" s="7"/>
      <c r="E192" s="8">
        <v>628.31399999999996</v>
      </c>
      <c r="F192" s="8">
        <v>52.58</v>
      </c>
      <c r="G192" s="8">
        <v>33036.75</v>
      </c>
      <c r="H192" s="21">
        <v>33036.75</v>
      </c>
      <c r="I192" s="8">
        <v>27000</v>
      </c>
      <c r="J192" s="8">
        <v>22.358333330000001</v>
      </c>
    </row>
    <row r="193" spans="1:10" ht="15.75" thickBot="1">
      <c r="A193" s="20">
        <v>2</v>
      </c>
      <c r="B193" s="7" t="s">
        <v>23</v>
      </c>
      <c r="C193" s="7" t="s">
        <v>24</v>
      </c>
      <c r="D193" s="7"/>
      <c r="E193" s="8">
        <v>518.62599999999998</v>
      </c>
      <c r="F193" s="8">
        <v>88.54</v>
      </c>
      <c r="G193" s="8">
        <v>45919.15</v>
      </c>
      <c r="H193" s="21">
        <v>45919.15</v>
      </c>
      <c r="I193" s="8">
        <v>32000</v>
      </c>
      <c r="J193" s="8">
        <v>43.497331250000002</v>
      </c>
    </row>
    <row r="194" spans="1:10" ht="15.75" thickBot="1">
      <c r="A194" s="20">
        <v>3</v>
      </c>
      <c r="B194" s="7" t="s">
        <v>19</v>
      </c>
      <c r="C194" s="7" t="s">
        <v>20</v>
      </c>
      <c r="D194" s="7"/>
      <c r="E194" s="8">
        <v>398.79899999999998</v>
      </c>
      <c r="F194" s="8">
        <v>93.84</v>
      </c>
      <c r="G194" s="8">
        <v>37423.300000000003</v>
      </c>
      <c r="H194" s="21">
        <v>37423.300000000003</v>
      </c>
      <c r="I194" s="8">
        <v>27000</v>
      </c>
      <c r="J194" s="8">
        <v>38.604807409999999</v>
      </c>
    </row>
    <row r="195" spans="1:10" ht="15.75" thickBot="1">
      <c r="A195" s="20">
        <v>4</v>
      </c>
      <c r="B195" s="7" t="s">
        <v>17</v>
      </c>
      <c r="C195" s="7" t="s">
        <v>18</v>
      </c>
      <c r="D195" s="7"/>
      <c r="E195" s="8">
        <v>498.74900000000002</v>
      </c>
      <c r="F195" s="8">
        <v>76.39</v>
      </c>
      <c r="G195" s="8">
        <v>38099.440000000002</v>
      </c>
      <c r="H195" s="21">
        <v>38099.440000000002</v>
      </c>
      <c r="I195" s="8">
        <v>27000</v>
      </c>
      <c r="J195" s="8">
        <v>41.10902222</v>
      </c>
    </row>
    <row r="196" spans="1:10" ht="15.75" thickBot="1">
      <c r="A196" s="20">
        <v>5</v>
      </c>
      <c r="B196" s="7" t="s">
        <v>11</v>
      </c>
      <c r="C196" s="7" t="s">
        <v>12</v>
      </c>
      <c r="D196" s="7"/>
      <c r="E196" s="8">
        <v>332.81</v>
      </c>
      <c r="F196" s="8">
        <v>95.47</v>
      </c>
      <c r="G196" s="8">
        <v>31773.37</v>
      </c>
      <c r="H196" s="21">
        <v>31773.37</v>
      </c>
      <c r="I196" s="8">
        <v>27000</v>
      </c>
      <c r="J196" s="8">
        <v>17.67915185</v>
      </c>
    </row>
    <row r="197" spans="1:10" ht="15.75" thickBot="1">
      <c r="A197" s="20">
        <v>6</v>
      </c>
      <c r="B197" s="7" t="s">
        <v>37</v>
      </c>
      <c r="C197" s="7" t="s">
        <v>38</v>
      </c>
      <c r="D197" s="7"/>
      <c r="E197" s="8">
        <v>63.41</v>
      </c>
      <c r="F197" s="8">
        <v>142.54</v>
      </c>
      <c r="G197" s="8">
        <v>9038.4609999999993</v>
      </c>
      <c r="H197" s="21">
        <v>9038.4599999999991</v>
      </c>
      <c r="I197" s="8">
        <v>7000</v>
      </c>
      <c r="J197" s="8">
        <v>29.120871430000001</v>
      </c>
    </row>
    <row r="198" spans="1:10" ht="15.75" thickBot="1">
      <c r="A198" s="20">
        <v>7</v>
      </c>
      <c r="B198" s="7" t="s">
        <v>15</v>
      </c>
      <c r="C198" s="38" t="s">
        <v>16</v>
      </c>
      <c r="D198" s="38"/>
      <c r="E198" s="8">
        <v>539.67100000000005</v>
      </c>
      <c r="F198" s="8">
        <v>77.489999999999995</v>
      </c>
      <c r="G198" s="8">
        <v>41819.11</v>
      </c>
      <c r="H198" s="21">
        <v>41819.11</v>
      </c>
      <c r="I198" s="39">
        <v>33000</v>
      </c>
      <c r="J198" s="8">
        <v>26.72456364</v>
      </c>
    </row>
    <row r="199" spans="1:10" ht="15.75" thickBot="1">
      <c r="A199" s="20">
        <v>8</v>
      </c>
      <c r="B199" s="7" t="s">
        <v>13</v>
      </c>
      <c r="C199" s="7" t="s">
        <v>14</v>
      </c>
      <c r="D199" s="7"/>
      <c r="E199" s="8">
        <v>244.06200000000001</v>
      </c>
      <c r="F199" s="8">
        <v>150.37</v>
      </c>
      <c r="G199" s="8">
        <v>36699.599999999999</v>
      </c>
      <c r="H199" s="21">
        <v>36699.599999999999</v>
      </c>
      <c r="I199" s="8">
        <v>27000</v>
      </c>
      <c r="J199" s="8">
        <v>35.924455559999998</v>
      </c>
    </row>
    <row r="200" spans="1:10" ht="15.75" thickBot="1">
      <c r="A200" s="22"/>
      <c r="B200" s="23"/>
      <c r="C200" s="23"/>
      <c r="D200" s="23"/>
      <c r="E200" s="23"/>
      <c r="F200" s="23"/>
      <c r="G200" s="23"/>
      <c r="H200" s="24">
        <v>273809.17</v>
      </c>
      <c r="I200" s="25">
        <v>207000</v>
      </c>
      <c r="J200" s="25">
        <v>32.274961840000003</v>
      </c>
    </row>
    <row r="201" spans="1:10" ht="16.5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17.25" thickBo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15.75" thickBot="1">
      <c r="A203" s="10"/>
      <c r="B203" s="17" t="s">
        <v>51</v>
      </c>
      <c r="C203" s="17"/>
      <c r="D203" s="17"/>
      <c r="E203" s="17"/>
      <c r="F203" s="17"/>
      <c r="G203" s="17"/>
      <c r="H203" s="17"/>
      <c r="I203" s="17"/>
      <c r="J203" s="17"/>
    </row>
    <row r="204" spans="1:10" ht="15.75" thickBot="1">
      <c r="A204" s="20">
        <v>1</v>
      </c>
      <c r="B204" s="7" t="s">
        <v>21</v>
      </c>
      <c r="C204" s="7" t="s">
        <v>22</v>
      </c>
      <c r="D204" s="7"/>
      <c r="E204" s="8">
        <v>646.99400000000003</v>
      </c>
      <c r="F204" s="8">
        <v>54.08</v>
      </c>
      <c r="G204" s="8">
        <v>34989.440000000002</v>
      </c>
      <c r="H204" s="21">
        <v>34989.440000000002</v>
      </c>
      <c r="I204" s="8">
        <v>28000</v>
      </c>
      <c r="J204" s="8">
        <v>24.962271430000001</v>
      </c>
    </row>
    <row r="205" spans="1:10" ht="15.75" thickBot="1">
      <c r="A205" s="20">
        <v>2</v>
      </c>
      <c r="B205" s="7" t="s">
        <v>23</v>
      </c>
      <c r="C205" s="7" t="s">
        <v>24</v>
      </c>
      <c r="D205" s="7"/>
      <c r="E205" s="8">
        <v>530.39700000000005</v>
      </c>
      <c r="F205" s="8">
        <v>85.83</v>
      </c>
      <c r="G205" s="8">
        <v>45523.97</v>
      </c>
      <c r="H205" s="21">
        <v>45523.98</v>
      </c>
      <c r="I205" s="8">
        <v>33000</v>
      </c>
      <c r="J205" s="8">
        <v>37.951439389999997</v>
      </c>
    </row>
    <row r="206" spans="1:10" ht="15.75" thickBot="1">
      <c r="A206" s="20">
        <v>3</v>
      </c>
      <c r="B206" s="7" t="s">
        <v>19</v>
      </c>
      <c r="C206" s="7" t="s">
        <v>20</v>
      </c>
      <c r="D206" s="7"/>
      <c r="E206" s="8">
        <v>409.33800000000002</v>
      </c>
      <c r="F206" s="8">
        <v>95.42</v>
      </c>
      <c r="G206" s="8">
        <v>39059.03</v>
      </c>
      <c r="H206" s="21">
        <v>39059.03</v>
      </c>
      <c r="I206" s="8">
        <v>28000</v>
      </c>
      <c r="J206" s="8">
        <v>39.496542859999998</v>
      </c>
    </row>
    <row r="207" spans="1:10" ht="15.75" thickBot="1">
      <c r="A207" s="20">
        <v>4</v>
      </c>
      <c r="B207" s="7" t="s">
        <v>17</v>
      </c>
      <c r="C207" s="7" t="s">
        <v>18</v>
      </c>
      <c r="D207" s="7"/>
      <c r="E207" s="8">
        <v>512.18600000000004</v>
      </c>
      <c r="F207" s="8">
        <v>74.430000000000007</v>
      </c>
      <c r="G207" s="8">
        <v>38122</v>
      </c>
      <c r="H207" s="21">
        <v>38122</v>
      </c>
      <c r="I207" s="8">
        <v>28000</v>
      </c>
      <c r="J207" s="8">
        <v>36.150014290000001</v>
      </c>
    </row>
    <row r="208" spans="1:10" ht="15.75" thickBot="1">
      <c r="A208" s="20">
        <v>5</v>
      </c>
      <c r="B208" s="7" t="s">
        <v>11</v>
      </c>
      <c r="C208" s="7" t="s">
        <v>12</v>
      </c>
      <c r="D208" s="7"/>
      <c r="E208" s="8">
        <v>343.197</v>
      </c>
      <c r="F208" s="8">
        <v>95.69</v>
      </c>
      <c r="G208" s="8">
        <v>32840.519999999997</v>
      </c>
      <c r="H208" s="21">
        <v>32840.519999999997</v>
      </c>
      <c r="I208" s="8">
        <v>28000</v>
      </c>
      <c r="J208" s="8">
        <v>17.287575</v>
      </c>
    </row>
    <row r="209" spans="1:10" ht="15.75" thickBot="1">
      <c r="A209" s="20">
        <v>6</v>
      </c>
      <c r="B209" s="7" t="s">
        <v>37</v>
      </c>
      <c r="C209" s="7" t="s">
        <v>38</v>
      </c>
      <c r="D209" s="7"/>
      <c r="E209" s="8">
        <v>70.67</v>
      </c>
      <c r="F209" s="8">
        <v>140.79</v>
      </c>
      <c r="G209" s="8">
        <v>9949.6290000000008</v>
      </c>
      <c r="H209" s="21">
        <v>9949.6299999999992</v>
      </c>
      <c r="I209" s="8">
        <v>8000</v>
      </c>
      <c r="J209" s="8">
        <v>24.370362499999999</v>
      </c>
    </row>
    <row r="210" spans="1:10" ht="15.75" thickBot="1">
      <c r="A210" s="20">
        <v>7</v>
      </c>
      <c r="B210" s="7" t="s">
        <v>15</v>
      </c>
      <c r="C210" s="38" t="s">
        <v>16</v>
      </c>
      <c r="D210" s="38"/>
      <c r="E210" s="8">
        <v>552.375</v>
      </c>
      <c r="F210" s="8">
        <v>79.28</v>
      </c>
      <c r="G210" s="8">
        <v>43792.29</v>
      </c>
      <c r="H210" s="21">
        <v>43792.29</v>
      </c>
      <c r="I210" s="39">
        <v>34000</v>
      </c>
      <c r="J210" s="8">
        <v>28.800852939999999</v>
      </c>
    </row>
    <row r="211" spans="1:10" ht="15.75" thickBot="1">
      <c r="A211" s="20">
        <v>8</v>
      </c>
      <c r="B211" s="7" t="s">
        <v>13</v>
      </c>
      <c r="C211" s="7" t="s">
        <v>14</v>
      </c>
      <c r="D211" s="7"/>
      <c r="E211" s="8">
        <v>250.85</v>
      </c>
      <c r="F211" s="8">
        <v>147.81</v>
      </c>
      <c r="G211" s="8">
        <v>37078.14</v>
      </c>
      <c r="H211" s="21">
        <v>37078.14</v>
      </c>
      <c r="I211" s="8">
        <v>28000</v>
      </c>
      <c r="J211" s="8">
        <v>32.421925000000002</v>
      </c>
    </row>
    <row r="212" spans="1:10" ht="15.75" thickBot="1">
      <c r="A212" s="22"/>
      <c r="B212" s="23"/>
      <c r="C212" s="23"/>
      <c r="D212" s="23"/>
      <c r="E212" s="23"/>
      <c r="F212" s="23"/>
      <c r="G212" s="23"/>
      <c r="H212" s="24">
        <v>281355.03000000003</v>
      </c>
      <c r="I212" s="25">
        <v>215000</v>
      </c>
      <c r="J212" s="25">
        <v>30.86280279</v>
      </c>
    </row>
    <row r="213" spans="1:10" ht="16.5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17.25" thickBo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15.75" thickBot="1">
      <c r="A215" s="10"/>
      <c r="B215" s="17" t="s">
        <v>34</v>
      </c>
      <c r="C215" s="17"/>
      <c r="D215" s="17"/>
      <c r="E215" s="17"/>
      <c r="F215" s="17"/>
      <c r="G215" s="17"/>
      <c r="H215" s="17"/>
      <c r="I215" s="17"/>
      <c r="J215" s="17"/>
    </row>
    <row r="216" spans="1:10" ht="15.75" thickBot="1">
      <c r="A216" s="20">
        <v>1</v>
      </c>
      <c r="B216" s="7" t="s">
        <v>21</v>
      </c>
      <c r="C216" s="7" t="s">
        <v>22</v>
      </c>
      <c r="D216" s="7"/>
      <c r="E216" s="8">
        <v>683.27499999999998</v>
      </c>
      <c r="F216" s="8">
        <v>54.9</v>
      </c>
      <c r="G216" s="8">
        <v>37511.800000000003</v>
      </c>
      <c r="H216" s="21">
        <v>37511.800000000003</v>
      </c>
      <c r="I216" s="8">
        <v>29000</v>
      </c>
      <c r="J216" s="8">
        <v>29.351027590000001</v>
      </c>
    </row>
    <row r="217" spans="1:10" ht="15.75" thickBot="1">
      <c r="A217" s="20">
        <v>2</v>
      </c>
      <c r="B217" s="7" t="s">
        <v>23</v>
      </c>
      <c r="C217" s="7" t="s">
        <v>24</v>
      </c>
      <c r="D217" s="7"/>
      <c r="E217" s="8">
        <v>552.904</v>
      </c>
      <c r="F217" s="8">
        <v>90.1</v>
      </c>
      <c r="G217" s="8">
        <v>49816.65</v>
      </c>
      <c r="H217" s="21">
        <v>49816.65</v>
      </c>
      <c r="I217" s="8">
        <v>34000</v>
      </c>
      <c r="J217" s="8">
        <v>46.51955882</v>
      </c>
    </row>
    <row r="218" spans="1:10" ht="15.75" thickBot="1">
      <c r="A218" s="5"/>
      <c r="B218" s="7" t="s">
        <v>41</v>
      </c>
      <c r="C218" s="7" t="s">
        <v>52</v>
      </c>
      <c r="D218" s="7"/>
      <c r="E218" s="8">
        <v>6.48</v>
      </c>
      <c r="F218" s="8">
        <v>157.71</v>
      </c>
      <c r="G218" s="8">
        <v>1021.961</v>
      </c>
      <c r="H218" s="21">
        <v>1021.96</v>
      </c>
      <c r="I218" s="8">
        <v>1000</v>
      </c>
      <c r="J218" s="8">
        <v>2.1960999999999999</v>
      </c>
    </row>
    <row r="219" spans="1:10" ht="15.75" thickBot="1">
      <c r="A219" s="20">
        <v>3</v>
      </c>
      <c r="B219" s="7" t="s">
        <v>19</v>
      </c>
      <c r="C219" s="7" t="s">
        <v>20</v>
      </c>
      <c r="D219" s="7"/>
      <c r="E219" s="8">
        <v>430.065</v>
      </c>
      <c r="F219" s="8">
        <v>96.37</v>
      </c>
      <c r="G219" s="8">
        <v>41445.360000000001</v>
      </c>
      <c r="H219" s="21">
        <v>41445.360000000001</v>
      </c>
      <c r="I219" s="8">
        <v>29000</v>
      </c>
      <c r="J219" s="8">
        <v>42.915048280000001</v>
      </c>
    </row>
    <row r="220" spans="1:10" ht="15.75" thickBot="1">
      <c r="A220" s="20">
        <v>4</v>
      </c>
      <c r="B220" s="7" t="s">
        <v>17</v>
      </c>
      <c r="C220" s="7" t="s">
        <v>18</v>
      </c>
      <c r="D220" s="7"/>
      <c r="E220" s="8">
        <v>537.89800000000002</v>
      </c>
      <c r="F220" s="8">
        <v>78.47</v>
      </c>
      <c r="G220" s="8">
        <v>42208.86</v>
      </c>
      <c r="H220" s="21">
        <v>42208.86</v>
      </c>
      <c r="I220" s="8">
        <v>29000</v>
      </c>
      <c r="J220" s="8">
        <v>45.547779310000003</v>
      </c>
    </row>
    <row r="221" spans="1:10" ht="15.75" thickBot="1">
      <c r="A221" s="20">
        <v>5</v>
      </c>
      <c r="B221" s="7" t="s">
        <v>11</v>
      </c>
      <c r="C221" s="7" t="s">
        <v>12</v>
      </c>
      <c r="D221" s="7"/>
      <c r="E221" s="8">
        <v>353.36900000000003</v>
      </c>
      <c r="F221" s="8">
        <v>98.04</v>
      </c>
      <c r="G221" s="8">
        <v>34644.300000000003</v>
      </c>
      <c r="H221" s="21">
        <v>34644.300000000003</v>
      </c>
      <c r="I221" s="8">
        <v>29000</v>
      </c>
      <c r="J221" s="8">
        <v>19.463093099999998</v>
      </c>
    </row>
    <row r="222" spans="1:10" ht="15.75" thickBot="1">
      <c r="A222" s="5"/>
      <c r="B222" s="7" t="s">
        <v>40</v>
      </c>
      <c r="C222" s="7" t="s">
        <v>53</v>
      </c>
      <c r="D222" s="7"/>
      <c r="E222" s="8">
        <v>12.475</v>
      </c>
      <c r="F222" s="8">
        <v>79.5</v>
      </c>
      <c r="G222" s="8">
        <v>991.76250000000005</v>
      </c>
      <c r="H222" s="8">
        <v>991.76</v>
      </c>
      <c r="I222" s="8">
        <v>1000</v>
      </c>
      <c r="J222" s="8">
        <v>-0.82369999999999999</v>
      </c>
    </row>
    <row r="223" spans="1:10" ht="15.75" thickBot="1">
      <c r="A223" s="20">
        <v>6</v>
      </c>
      <c r="B223" s="7" t="s">
        <v>37</v>
      </c>
      <c r="C223" s="7" t="s">
        <v>38</v>
      </c>
      <c r="D223" s="7"/>
      <c r="E223" s="8">
        <v>84.177999999999997</v>
      </c>
      <c r="F223" s="8">
        <v>150.86000000000001</v>
      </c>
      <c r="G223" s="8">
        <v>12699.09</v>
      </c>
      <c r="H223" s="21">
        <v>12699.09</v>
      </c>
      <c r="I223" s="8">
        <v>9000</v>
      </c>
      <c r="J223" s="8">
        <v>41.10103333</v>
      </c>
    </row>
    <row r="224" spans="1:10" ht="15.75" thickBot="1">
      <c r="A224" s="5"/>
      <c r="B224" s="7" t="s">
        <v>42</v>
      </c>
      <c r="C224" s="7" t="s">
        <v>54</v>
      </c>
      <c r="D224" s="7"/>
      <c r="E224" s="8">
        <v>8.1890000000000001</v>
      </c>
      <c r="F224" s="8">
        <v>248.88</v>
      </c>
      <c r="G224" s="8">
        <v>2038.078</v>
      </c>
      <c r="H224" s="21">
        <v>2038.08</v>
      </c>
      <c r="I224" s="8">
        <v>2000</v>
      </c>
      <c r="J224" s="8">
        <v>1.9038999999999999</v>
      </c>
    </row>
    <row r="225" spans="1:10" ht="15.75" thickBot="1">
      <c r="A225" s="20">
        <v>7</v>
      </c>
      <c r="B225" s="7" t="s">
        <v>15</v>
      </c>
      <c r="C225" s="38" t="s">
        <v>16</v>
      </c>
      <c r="D225" s="38"/>
      <c r="E225" s="8">
        <v>577.13</v>
      </c>
      <c r="F225" s="8">
        <v>80.900000000000006</v>
      </c>
      <c r="G225" s="8">
        <v>46689.82</v>
      </c>
      <c r="H225" s="21">
        <v>46689.82</v>
      </c>
      <c r="I225" s="39">
        <v>35000</v>
      </c>
      <c r="J225" s="8">
        <v>33.399477140000002</v>
      </c>
    </row>
    <row r="226" spans="1:10" ht="15.75" thickBot="1">
      <c r="A226" s="20">
        <v>8</v>
      </c>
      <c r="B226" s="7" t="s">
        <v>13</v>
      </c>
      <c r="C226" s="7" t="s">
        <v>14</v>
      </c>
      <c r="D226" s="7"/>
      <c r="E226" s="8">
        <v>263.67899999999997</v>
      </c>
      <c r="F226" s="8">
        <v>158.62</v>
      </c>
      <c r="G226" s="8">
        <v>41824.76</v>
      </c>
      <c r="H226" s="21">
        <v>41824.76</v>
      </c>
      <c r="I226" s="8">
        <v>29000</v>
      </c>
      <c r="J226" s="8">
        <v>44.223320690000001</v>
      </c>
    </row>
    <row r="227" spans="1:10" ht="15.75" thickBot="1">
      <c r="A227" s="22"/>
      <c r="B227" s="23"/>
      <c r="C227" s="23"/>
      <c r="D227" s="23"/>
      <c r="E227" s="23"/>
      <c r="F227" s="23"/>
      <c r="G227" s="23"/>
      <c r="H227" s="24">
        <v>310892.44</v>
      </c>
      <c r="I227" s="25">
        <v>227000</v>
      </c>
      <c r="J227" s="25">
        <v>36.957022029999997</v>
      </c>
    </row>
    <row r="228" spans="1:10" ht="16.5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ht="17.25" thickBo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15.75" thickBot="1">
      <c r="A230" s="10"/>
      <c r="B230" s="17" t="s">
        <v>36</v>
      </c>
      <c r="C230" s="17"/>
      <c r="D230" s="17"/>
      <c r="E230" s="17"/>
      <c r="F230" s="17"/>
      <c r="G230" s="17"/>
      <c r="H230" s="17"/>
      <c r="I230" s="17"/>
      <c r="J230" s="17"/>
    </row>
    <row r="231" spans="1:10" ht="15.75" thickBot="1">
      <c r="A231" s="20">
        <v>1</v>
      </c>
      <c r="B231" s="7" t="s">
        <v>21</v>
      </c>
      <c r="C231" s="7" t="s">
        <v>22</v>
      </c>
      <c r="D231" s="7"/>
      <c r="E231" s="8">
        <v>700.846</v>
      </c>
      <c r="F231" s="8">
        <v>57.27</v>
      </c>
      <c r="G231" s="8">
        <v>40137.449999999997</v>
      </c>
      <c r="H231" s="21">
        <v>40137.449999999997</v>
      </c>
      <c r="I231" s="8">
        <v>30000</v>
      </c>
      <c r="J231" s="8">
        <v>33.791499999999999</v>
      </c>
    </row>
    <row r="232" spans="1:10" ht="15.75" thickBot="1">
      <c r="A232" s="20">
        <v>2</v>
      </c>
      <c r="B232" s="7" t="s">
        <v>23</v>
      </c>
      <c r="C232" s="7" t="s">
        <v>24</v>
      </c>
      <c r="D232" s="7"/>
      <c r="E232" s="8">
        <v>563.31600000000003</v>
      </c>
      <c r="F232" s="8">
        <v>97.78</v>
      </c>
      <c r="G232" s="8">
        <v>55081.04</v>
      </c>
      <c r="H232" s="21">
        <v>55081.04</v>
      </c>
      <c r="I232" s="8">
        <v>35000</v>
      </c>
      <c r="J232" s="8">
        <v>57.374394289999998</v>
      </c>
    </row>
    <row r="233" spans="1:10" ht="15.75" thickBot="1">
      <c r="A233" s="5"/>
      <c r="B233" s="7" t="s">
        <v>41</v>
      </c>
      <c r="C233" s="7" t="s">
        <v>52</v>
      </c>
      <c r="D233" s="7"/>
      <c r="E233" s="8">
        <v>12.292</v>
      </c>
      <c r="F233" s="8">
        <v>175.6</v>
      </c>
      <c r="G233" s="8">
        <v>2158.4749999999999</v>
      </c>
      <c r="H233" s="21">
        <v>2158.48</v>
      </c>
      <c r="I233" s="8">
        <v>2000</v>
      </c>
      <c r="J233" s="8">
        <v>7.9237500000000001</v>
      </c>
    </row>
    <row r="234" spans="1:10" ht="15.75" thickBot="1">
      <c r="A234" s="20">
        <v>3</v>
      </c>
      <c r="B234" s="7" t="s">
        <v>19</v>
      </c>
      <c r="C234" s="7" t="s">
        <v>20</v>
      </c>
      <c r="D234" s="7"/>
      <c r="E234" s="8">
        <v>439.98399999999998</v>
      </c>
      <c r="F234" s="8">
        <v>101.61</v>
      </c>
      <c r="G234" s="8">
        <v>44706.77</v>
      </c>
      <c r="H234" s="21">
        <v>44706.77</v>
      </c>
      <c r="I234" s="8">
        <v>30000</v>
      </c>
      <c r="J234" s="8">
        <v>49.022579999999998</v>
      </c>
    </row>
    <row r="235" spans="1:10" ht="15.75" thickBot="1">
      <c r="A235" s="20">
        <v>4</v>
      </c>
      <c r="B235" s="7" t="s">
        <v>17</v>
      </c>
      <c r="C235" s="7" t="s">
        <v>18</v>
      </c>
      <c r="D235" s="7"/>
      <c r="E235" s="8">
        <v>549.721</v>
      </c>
      <c r="F235" s="8">
        <v>86.26</v>
      </c>
      <c r="G235" s="8">
        <v>47418.93</v>
      </c>
      <c r="H235" s="21">
        <v>47418.93</v>
      </c>
      <c r="I235" s="8">
        <v>30000</v>
      </c>
      <c r="J235" s="8">
        <v>58.063110000000002</v>
      </c>
    </row>
    <row r="236" spans="1:10" ht="15.75" thickBot="1">
      <c r="A236" s="20">
        <v>5</v>
      </c>
      <c r="B236" s="7" t="s">
        <v>11</v>
      </c>
      <c r="C236" s="7" t="s">
        <v>12</v>
      </c>
      <c r="D236" s="7"/>
      <c r="E236" s="8">
        <v>373.40100000000001</v>
      </c>
      <c r="F236" s="8">
        <v>103.18</v>
      </c>
      <c r="G236" s="8">
        <v>38527.519999999997</v>
      </c>
      <c r="H236" s="21">
        <v>38527.519999999997</v>
      </c>
      <c r="I236" s="8">
        <v>30000</v>
      </c>
      <c r="J236" s="8">
        <v>28.425049999999999</v>
      </c>
    </row>
    <row r="237" spans="1:10" ht="15.75" thickBot="1">
      <c r="A237" s="5"/>
      <c r="B237" s="7" t="s">
        <v>40</v>
      </c>
      <c r="C237" s="7" t="s">
        <v>53</v>
      </c>
      <c r="D237" s="7"/>
      <c r="E237" s="8">
        <v>24.481000000000002</v>
      </c>
      <c r="F237" s="8">
        <v>84.21</v>
      </c>
      <c r="G237" s="8">
        <v>2061.5450000000001</v>
      </c>
      <c r="H237" s="21">
        <v>2061.5500000000002</v>
      </c>
      <c r="I237" s="8">
        <v>2000</v>
      </c>
      <c r="J237" s="8">
        <v>3.0772499999999998</v>
      </c>
    </row>
    <row r="238" spans="1:10" ht="15.75" thickBot="1">
      <c r="A238" s="20">
        <v>6</v>
      </c>
      <c r="B238" s="7" t="s">
        <v>37</v>
      </c>
      <c r="C238" s="7" t="s">
        <v>38</v>
      </c>
      <c r="D238" s="7"/>
      <c r="E238" s="8">
        <v>96.673000000000002</v>
      </c>
      <c r="F238" s="8">
        <v>166.55</v>
      </c>
      <c r="G238" s="8">
        <v>16100.89</v>
      </c>
      <c r="H238" s="21">
        <v>16100.89</v>
      </c>
      <c r="I238" s="8">
        <v>10000</v>
      </c>
      <c r="J238" s="8">
        <v>61.008879999999998</v>
      </c>
    </row>
    <row r="239" spans="1:10" ht="15.75" thickBot="1">
      <c r="A239" s="5"/>
      <c r="B239" s="7" t="s">
        <v>42</v>
      </c>
      <c r="C239" s="7" t="s">
        <v>54</v>
      </c>
      <c r="D239" s="7"/>
      <c r="E239" s="8">
        <v>15.967000000000001</v>
      </c>
      <c r="F239" s="8">
        <v>263.27</v>
      </c>
      <c r="G239" s="8">
        <v>4203.6319999999996</v>
      </c>
      <c r="H239" s="21">
        <v>4203.63</v>
      </c>
      <c r="I239" s="8">
        <v>4000</v>
      </c>
      <c r="J239" s="8">
        <v>5.0907999999999998</v>
      </c>
    </row>
    <row r="240" spans="1:10" ht="15.75" thickBot="1">
      <c r="A240" s="20">
        <v>7</v>
      </c>
      <c r="B240" s="7" t="s">
        <v>15</v>
      </c>
      <c r="C240" s="38" t="s">
        <v>16</v>
      </c>
      <c r="D240" s="38"/>
      <c r="E240" s="8">
        <v>588.86699999999996</v>
      </c>
      <c r="F240" s="8">
        <v>86.09</v>
      </c>
      <c r="G240" s="8">
        <v>50695.56</v>
      </c>
      <c r="H240" s="21">
        <v>50695.56</v>
      </c>
      <c r="I240" s="39">
        <v>36000</v>
      </c>
      <c r="J240" s="8">
        <v>40.820999999999998</v>
      </c>
    </row>
    <row r="241" spans="1:12" ht="15.75" thickBot="1">
      <c r="A241" s="20">
        <v>8</v>
      </c>
      <c r="B241" s="7" t="s">
        <v>13</v>
      </c>
      <c r="C241" s="7" t="s">
        <v>14</v>
      </c>
      <c r="D241" s="7"/>
      <c r="E241" s="8">
        <v>269.57</v>
      </c>
      <c r="F241" s="8">
        <v>173.33</v>
      </c>
      <c r="G241" s="8">
        <v>46724.57</v>
      </c>
      <c r="H241" s="21">
        <v>46724.57</v>
      </c>
      <c r="I241" s="8">
        <v>30000</v>
      </c>
      <c r="J241" s="8">
        <v>55.748559999999998</v>
      </c>
    </row>
    <row r="242" spans="1:12" ht="15.75" thickBot="1">
      <c r="A242" s="22"/>
      <c r="B242" s="23"/>
      <c r="C242" s="23"/>
      <c r="D242" s="23"/>
      <c r="E242" s="23"/>
      <c r="F242" s="23"/>
      <c r="G242" s="23"/>
      <c r="H242" s="24">
        <v>347816.38</v>
      </c>
      <c r="I242" s="25">
        <v>239000</v>
      </c>
      <c r="J242" s="25">
        <v>45.529865270000002</v>
      </c>
    </row>
    <row r="243" spans="1:12" ht="16.5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2" ht="17.25" thickBo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2" ht="15.75" thickBot="1">
      <c r="A245" s="10"/>
      <c r="B245" s="17" t="s">
        <v>25</v>
      </c>
      <c r="C245" s="17" t="s">
        <v>55</v>
      </c>
      <c r="D245" s="17"/>
      <c r="E245" s="17" t="s">
        <v>56</v>
      </c>
      <c r="F245" s="17" t="s">
        <v>57</v>
      </c>
      <c r="G245" s="17" t="s">
        <v>58</v>
      </c>
      <c r="H245" s="17" t="s">
        <v>59</v>
      </c>
      <c r="I245" s="17" t="s">
        <v>60</v>
      </c>
      <c r="J245" s="17" t="s">
        <v>62</v>
      </c>
    </row>
    <row r="246" spans="1:12" ht="15.75" thickBot="1">
      <c r="A246" s="20">
        <v>1</v>
      </c>
      <c r="B246" s="7" t="s">
        <v>21</v>
      </c>
      <c r="C246" s="7" t="s">
        <v>22</v>
      </c>
      <c r="D246" s="7"/>
      <c r="E246" s="8">
        <v>717.81200000000001</v>
      </c>
      <c r="F246" s="8">
        <v>58.94</v>
      </c>
      <c r="G246" s="8">
        <f>E246*F246</f>
        <v>42307.83928</v>
      </c>
      <c r="H246" s="21">
        <v>42307.839999999997</v>
      </c>
      <c r="I246" s="8">
        <v>31000</v>
      </c>
      <c r="J246" s="41">
        <f>((H246-I246)/I246)*100</f>
        <v>36.476903225806439</v>
      </c>
      <c r="L246" s="42"/>
    </row>
    <row r="247" spans="1:12" ht="15.75" thickBot="1">
      <c r="A247" s="20">
        <v>2</v>
      </c>
      <c r="B247" s="7" t="s">
        <v>23</v>
      </c>
      <c r="C247" s="7" t="s">
        <v>24</v>
      </c>
      <c r="D247" s="7"/>
      <c r="E247" s="8">
        <v>573.10199999999998</v>
      </c>
      <c r="F247" s="8">
        <v>102.18</v>
      </c>
      <c r="G247" s="8">
        <f t="shared" ref="G247:G256" si="0">E247*F247</f>
        <v>58559.562360000004</v>
      </c>
      <c r="H247" s="21">
        <v>58559.56</v>
      </c>
      <c r="I247" s="8">
        <v>36000</v>
      </c>
      <c r="J247" s="41">
        <f t="shared" ref="J247:J255" si="1">((H247-I247)/I247)*100</f>
        <v>62.665444444444439</v>
      </c>
    </row>
    <row r="248" spans="1:12" ht="15.75" thickBot="1">
      <c r="A248" s="5"/>
      <c r="B248" s="7" t="s">
        <v>41</v>
      </c>
      <c r="C248" s="7" t="s">
        <v>52</v>
      </c>
      <c r="D248" s="7"/>
      <c r="E248" s="8">
        <v>17.773</v>
      </c>
      <c r="F248" s="8">
        <v>182.43</v>
      </c>
      <c r="G248" s="8">
        <f t="shared" si="0"/>
        <v>3242.3283900000001</v>
      </c>
      <c r="H248" s="21">
        <v>3242.33</v>
      </c>
      <c r="I248" s="8">
        <v>3000</v>
      </c>
      <c r="J248" s="41">
        <f t="shared" si="1"/>
        <v>8.0776666666666639</v>
      </c>
    </row>
    <row r="249" spans="1:12" ht="15.75" thickBot="1">
      <c r="A249" s="20">
        <v>3</v>
      </c>
      <c r="B249" s="7" t="s">
        <v>19</v>
      </c>
      <c r="C249" s="7" t="s">
        <v>20</v>
      </c>
      <c r="D249" s="7"/>
      <c r="E249" s="8">
        <v>449.48200000000003</v>
      </c>
      <c r="F249" s="8">
        <v>105.28</v>
      </c>
      <c r="G249" s="8">
        <f t="shared" si="0"/>
        <v>47321.464960000005</v>
      </c>
      <c r="H249" s="21">
        <v>47321.47</v>
      </c>
      <c r="I249" s="8">
        <v>31000</v>
      </c>
      <c r="J249" s="41">
        <f t="shared" si="1"/>
        <v>52.649903225806462</v>
      </c>
    </row>
    <row r="250" spans="1:12" ht="15.75" thickBot="1">
      <c r="A250" s="20">
        <v>4</v>
      </c>
      <c r="B250" s="7" t="s">
        <v>17</v>
      </c>
      <c r="C250" s="7" t="s">
        <v>18</v>
      </c>
      <c r="D250" s="7"/>
      <c r="E250" s="8">
        <v>560.88099999999997</v>
      </c>
      <c r="F250" s="8">
        <v>89.6</v>
      </c>
      <c r="G250" s="8">
        <f t="shared" si="0"/>
        <v>50254.937599999997</v>
      </c>
      <c r="H250" s="21">
        <v>50254.94</v>
      </c>
      <c r="I250" s="8">
        <v>31000</v>
      </c>
      <c r="J250" s="41">
        <f t="shared" si="1"/>
        <v>62.112709677419367</v>
      </c>
    </row>
    <row r="251" spans="1:12" ht="15.75" thickBot="1">
      <c r="A251" s="20">
        <v>5</v>
      </c>
      <c r="B251" s="7" t="s">
        <v>11</v>
      </c>
      <c r="C251" s="7" t="s">
        <v>12</v>
      </c>
      <c r="D251" s="7"/>
      <c r="E251" s="8">
        <v>382.63400000000001</v>
      </c>
      <c r="F251" s="8">
        <v>108.31</v>
      </c>
      <c r="G251" s="8">
        <f t="shared" si="0"/>
        <v>41443.088540000004</v>
      </c>
      <c r="H251" s="21">
        <v>41443.089999999997</v>
      </c>
      <c r="I251" s="8">
        <v>31000</v>
      </c>
      <c r="J251" s="41">
        <f t="shared" si="1"/>
        <v>33.687387096774181</v>
      </c>
    </row>
    <row r="252" spans="1:12" ht="15.75" thickBot="1">
      <c r="A252" s="5"/>
      <c r="B252" s="7" t="s">
        <v>40</v>
      </c>
      <c r="C252" s="7" t="s">
        <v>53</v>
      </c>
      <c r="D252" s="7"/>
      <c r="E252" s="8">
        <v>35.893000000000001</v>
      </c>
      <c r="F252" s="8">
        <v>87.62</v>
      </c>
      <c r="G252" s="8">
        <f t="shared" si="0"/>
        <v>3144.9446600000001</v>
      </c>
      <c r="H252" s="21">
        <v>3144.95</v>
      </c>
      <c r="I252" s="8">
        <v>3000</v>
      </c>
      <c r="J252" s="41">
        <f t="shared" si="1"/>
        <v>4.8316666666666608</v>
      </c>
    </row>
    <row r="253" spans="1:12" ht="15.75" thickBot="1">
      <c r="A253" s="20">
        <v>6</v>
      </c>
      <c r="B253" s="7" t="s">
        <v>37</v>
      </c>
      <c r="C253" s="7" t="s">
        <v>38</v>
      </c>
      <c r="D253" s="7"/>
      <c r="E253" s="8">
        <v>108.282</v>
      </c>
      <c r="F253" s="8">
        <v>176.02</v>
      </c>
      <c r="G253" s="8">
        <f t="shared" si="0"/>
        <v>19059.797640000001</v>
      </c>
      <c r="H253" s="21">
        <v>19059.8</v>
      </c>
      <c r="I253" s="8">
        <v>11000</v>
      </c>
      <c r="J253" s="41">
        <f t="shared" si="1"/>
        <v>73.270909090909086</v>
      </c>
    </row>
    <row r="254" spans="1:12" ht="15.75" thickBot="1">
      <c r="A254" s="5"/>
      <c r="B254" s="7" t="s">
        <v>42</v>
      </c>
      <c r="C254" s="7" t="s">
        <v>54</v>
      </c>
      <c r="D254" s="7"/>
      <c r="E254" s="8">
        <v>23.251999999999999</v>
      </c>
      <c r="F254" s="8">
        <v>274.51</v>
      </c>
      <c r="G254" s="8">
        <f t="shared" si="0"/>
        <v>6382.9065199999995</v>
      </c>
      <c r="H254" s="21">
        <v>6382.91</v>
      </c>
      <c r="I254" s="8">
        <v>6000</v>
      </c>
      <c r="J254" s="41">
        <f t="shared" si="1"/>
        <v>6.381833333333331</v>
      </c>
    </row>
    <row r="255" spans="1:12" ht="15.75" thickBot="1">
      <c r="A255" s="20">
        <v>7</v>
      </c>
      <c r="B255" s="7" t="s">
        <v>15</v>
      </c>
      <c r="C255" s="38" t="s">
        <v>16</v>
      </c>
      <c r="D255" s="38"/>
      <c r="E255" s="8">
        <v>600.12099999999998</v>
      </c>
      <c r="F255" s="8">
        <v>88.85</v>
      </c>
      <c r="G255" s="8">
        <f t="shared" si="0"/>
        <v>53320.750849999997</v>
      </c>
      <c r="H255" s="21">
        <v>53320.75</v>
      </c>
      <c r="I255" s="39">
        <v>37000</v>
      </c>
      <c r="J255" s="41">
        <f t="shared" si="1"/>
        <v>44.110135135135138</v>
      </c>
    </row>
    <row r="256" spans="1:12" ht="15.75" thickBot="1">
      <c r="A256" s="20">
        <v>8</v>
      </c>
      <c r="B256" s="7" t="s">
        <v>13</v>
      </c>
      <c r="C256" s="7" t="s">
        <v>14</v>
      </c>
      <c r="D256" s="7"/>
      <c r="E256" s="8">
        <v>275.13</v>
      </c>
      <c r="F256" s="8">
        <v>179.84</v>
      </c>
      <c r="G256" s="8">
        <f t="shared" si="0"/>
        <v>49479.379200000003</v>
      </c>
      <c r="H256" s="21">
        <v>49479.38</v>
      </c>
      <c r="I256" s="8">
        <v>31000</v>
      </c>
      <c r="J256" s="43">
        <f>((H256-I256)/I256)*100</f>
        <v>59.610903225806446</v>
      </c>
      <c r="K256" s="42"/>
    </row>
    <row r="257" spans="1:10" ht="15.75" thickBot="1">
      <c r="A257" s="22"/>
      <c r="B257" s="23"/>
      <c r="C257" s="23"/>
      <c r="D257" s="23"/>
      <c r="E257" s="23"/>
      <c r="F257" s="23"/>
      <c r="G257" s="23"/>
      <c r="H257" s="24">
        <v>374517</v>
      </c>
      <c r="I257" s="25">
        <v>251000</v>
      </c>
      <c r="J257" s="25">
        <f>((H257-I257)/I257)*100</f>
        <v>49.209960159362545</v>
      </c>
    </row>
    <row r="258" spans="1:10">
      <c r="A258" s="18"/>
      <c r="B258" s="19"/>
      <c r="C258" s="19"/>
      <c r="D258" s="19"/>
      <c r="E258" s="19"/>
      <c r="F258" s="19"/>
      <c r="G258" s="19"/>
      <c r="H258" s="19"/>
      <c r="I258" s="19"/>
      <c r="J258" s="19"/>
    </row>
    <row r="259" spans="1:10" ht="15.75" thickBot="1"/>
    <row r="260" spans="1:10" ht="30.75" thickBot="1">
      <c r="A260" s="75"/>
      <c r="B260" s="76" t="s">
        <v>26</v>
      </c>
      <c r="C260" s="77" t="s">
        <v>55</v>
      </c>
      <c r="D260" s="77" t="s">
        <v>132</v>
      </c>
      <c r="E260" s="77" t="s">
        <v>56</v>
      </c>
      <c r="F260" s="77" t="s">
        <v>57</v>
      </c>
      <c r="G260" s="77" t="s">
        <v>58</v>
      </c>
      <c r="H260" s="77" t="s">
        <v>59</v>
      </c>
      <c r="I260" s="77" t="s">
        <v>60</v>
      </c>
      <c r="J260" s="77" t="s">
        <v>62</v>
      </c>
    </row>
    <row r="261" spans="1:10" ht="15.75" thickBot="1">
      <c r="A261" s="20">
        <v>1</v>
      </c>
      <c r="B261" s="7" t="s">
        <v>21</v>
      </c>
      <c r="C261" s="7" t="s">
        <v>22</v>
      </c>
      <c r="D261" s="7"/>
      <c r="E261" s="8">
        <v>734.90800000000002</v>
      </c>
      <c r="F261" s="8">
        <v>58.49</v>
      </c>
      <c r="G261" s="8">
        <f>E261*F261</f>
        <v>42984.768920000002</v>
      </c>
      <c r="H261" s="21">
        <v>42984.769</v>
      </c>
      <c r="I261" s="8">
        <v>32000</v>
      </c>
      <c r="J261" s="41">
        <f>((H261-I261)/I261)*100</f>
        <v>34.327403125000004</v>
      </c>
    </row>
    <row r="262" spans="1:10" ht="15.75" thickBot="1">
      <c r="A262" s="20">
        <v>2</v>
      </c>
      <c r="B262" s="7" t="s">
        <v>23</v>
      </c>
      <c r="C262" s="7" t="s">
        <v>24</v>
      </c>
      <c r="D262" s="7"/>
      <c r="E262" s="8">
        <v>583.072</v>
      </c>
      <c r="F262" s="8">
        <v>100.3</v>
      </c>
      <c r="G262" s="8">
        <f t="shared" ref="G262:G271" si="2">E262*F262</f>
        <v>58482.121599999999</v>
      </c>
      <c r="H262" s="21">
        <v>58482.122000000003</v>
      </c>
      <c r="I262" s="8">
        <v>37000</v>
      </c>
      <c r="J262" s="41">
        <f t="shared" ref="J262:J270" si="3">((H262-I262)/I262)*100</f>
        <v>58.059789189189189</v>
      </c>
    </row>
    <row r="263" spans="1:10" ht="15.75" thickBot="1">
      <c r="A263" s="5"/>
      <c r="B263" s="7" t="s">
        <v>41</v>
      </c>
      <c r="C263" s="7" t="s">
        <v>52</v>
      </c>
      <c r="D263" s="7"/>
      <c r="E263" s="8">
        <v>23.376999999999999</v>
      </c>
      <c r="F263" s="8">
        <v>178.43</v>
      </c>
      <c r="G263" s="8">
        <f t="shared" si="2"/>
        <v>4171.1581100000003</v>
      </c>
      <c r="H263" s="21">
        <v>4171.2520000000004</v>
      </c>
      <c r="I263" s="8">
        <v>4000</v>
      </c>
      <c r="J263" s="41">
        <f t="shared" si="3"/>
        <v>4.2813000000000105</v>
      </c>
    </row>
    <row r="264" spans="1:10" ht="15.75" thickBot="1">
      <c r="A264" s="20">
        <v>3</v>
      </c>
      <c r="B264" s="7" t="s">
        <v>19</v>
      </c>
      <c r="C264" s="7" t="s">
        <v>20</v>
      </c>
      <c r="D264" s="7"/>
      <c r="E264" s="8">
        <v>458.98899999999998</v>
      </c>
      <c r="F264" s="8">
        <v>105.18</v>
      </c>
      <c r="G264" s="8">
        <f t="shared" si="2"/>
        <v>48276.463020000003</v>
      </c>
      <c r="H264" s="21">
        <v>48276.463000000003</v>
      </c>
      <c r="I264" s="8">
        <v>32000</v>
      </c>
      <c r="J264" s="41">
        <f t="shared" si="3"/>
        <v>50.863946875000011</v>
      </c>
    </row>
    <row r="265" spans="1:10" ht="15.75" thickBot="1">
      <c r="A265" s="20">
        <v>4</v>
      </c>
      <c r="B265" s="7" t="s">
        <v>17</v>
      </c>
      <c r="C265" s="7" t="s">
        <v>18</v>
      </c>
      <c r="D265" s="7"/>
      <c r="E265" s="8">
        <v>572.25800000000004</v>
      </c>
      <c r="F265" s="8">
        <v>87.89</v>
      </c>
      <c r="G265" s="8">
        <f t="shared" si="2"/>
        <v>50295.755620000004</v>
      </c>
      <c r="H265" s="21">
        <v>50295.756000000001</v>
      </c>
      <c r="I265" s="8">
        <v>32000</v>
      </c>
      <c r="J265" s="41">
        <f t="shared" si="3"/>
        <v>57.174237500000004</v>
      </c>
    </row>
    <row r="266" spans="1:10" ht="15.75" thickBot="1">
      <c r="A266" s="20">
        <v>5</v>
      </c>
      <c r="B266" s="7" t="s">
        <v>11</v>
      </c>
      <c r="C266" s="7" t="s">
        <v>12</v>
      </c>
      <c r="D266" s="7"/>
      <c r="E266" s="8">
        <v>391.92099999999999</v>
      </c>
      <c r="F266" s="8">
        <v>107.68</v>
      </c>
      <c r="G266" s="8">
        <f t="shared" si="2"/>
        <v>42202.05328</v>
      </c>
      <c r="H266" s="21">
        <v>42200.877999999997</v>
      </c>
      <c r="I266" s="8">
        <v>32000</v>
      </c>
      <c r="J266" s="41">
        <f t="shared" si="3"/>
        <v>31.877743749999993</v>
      </c>
    </row>
    <row r="267" spans="1:10" ht="15.75" thickBot="1">
      <c r="A267" s="5"/>
      <c r="B267" s="7" t="s">
        <v>40</v>
      </c>
      <c r="C267" s="7" t="s">
        <v>53</v>
      </c>
      <c r="D267" s="7"/>
      <c r="E267" s="8">
        <v>47.427999999999997</v>
      </c>
      <c r="F267" s="8">
        <v>86.69</v>
      </c>
      <c r="G267" s="8">
        <f t="shared" si="2"/>
        <v>4111.5333199999995</v>
      </c>
      <c r="H267" s="21">
        <v>4111.2960000000003</v>
      </c>
      <c r="I267" s="8">
        <v>4000</v>
      </c>
      <c r="J267" s="41">
        <f t="shared" si="3"/>
        <v>2.7824000000000066</v>
      </c>
    </row>
    <row r="268" spans="1:10" ht="15.75" thickBot="1">
      <c r="A268" s="20">
        <v>6</v>
      </c>
      <c r="B268" s="7" t="s">
        <v>37</v>
      </c>
      <c r="C268" s="7" t="s">
        <v>38</v>
      </c>
      <c r="D268" s="7"/>
      <c r="E268" s="8">
        <v>114.063</v>
      </c>
      <c r="F268" s="8">
        <v>172.96</v>
      </c>
      <c r="G268" s="8">
        <f t="shared" si="2"/>
        <v>19728.336480000002</v>
      </c>
      <c r="H268" s="21">
        <v>19727.993999999999</v>
      </c>
      <c r="I268" s="8">
        <v>12000</v>
      </c>
      <c r="J268" s="41">
        <f t="shared" si="3"/>
        <v>64.39994999999999</v>
      </c>
    </row>
    <row r="269" spans="1:10" ht="15.75" thickBot="1">
      <c r="A269" s="5"/>
      <c r="B269" s="7" t="s">
        <v>42</v>
      </c>
      <c r="C269" s="7" t="s">
        <v>54</v>
      </c>
      <c r="D269" s="7"/>
      <c r="E269" s="8">
        <v>30.66</v>
      </c>
      <c r="F269" s="8">
        <v>269.95999999999998</v>
      </c>
      <c r="G269" s="8">
        <f t="shared" si="2"/>
        <v>8276.9735999999994</v>
      </c>
      <c r="H269" s="21">
        <v>8277.0349999999999</v>
      </c>
      <c r="I269" s="8">
        <v>8000</v>
      </c>
      <c r="J269" s="41">
        <f t="shared" si="3"/>
        <v>3.4629374999999984</v>
      </c>
    </row>
    <row r="270" spans="1:10" ht="15.75" thickBot="1">
      <c r="A270" s="20">
        <v>7</v>
      </c>
      <c r="B270" s="7" t="s">
        <v>15</v>
      </c>
      <c r="C270" s="38" t="s">
        <v>16</v>
      </c>
      <c r="D270" s="38"/>
      <c r="E270" s="8">
        <v>611.48500000000001</v>
      </c>
      <c r="F270" s="8">
        <v>87.99</v>
      </c>
      <c r="G270" s="8">
        <f t="shared" si="2"/>
        <v>53804.565149999995</v>
      </c>
      <c r="H270" s="21">
        <v>53804.565000000002</v>
      </c>
      <c r="I270" s="39">
        <v>38000</v>
      </c>
      <c r="J270" s="41">
        <f t="shared" si="3"/>
        <v>41.590960526315797</v>
      </c>
    </row>
    <row r="271" spans="1:10" ht="15.75" thickBot="1">
      <c r="A271" s="20">
        <v>8</v>
      </c>
      <c r="B271" s="7" t="s">
        <v>13</v>
      </c>
      <c r="C271" s="7" t="s">
        <v>14</v>
      </c>
      <c r="D271" s="7"/>
      <c r="E271" s="8">
        <v>280.774</v>
      </c>
      <c r="F271" s="8">
        <v>177.18</v>
      </c>
      <c r="G271" s="8">
        <f t="shared" si="2"/>
        <v>49747.537320000003</v>
      </c>
      <c r="H271" s="21">
        <v>49748.66</v>
      </c>
      <c r="I271" s="8">
        <v>32000</v>
      </c>
      <c r="J271" s="43">
        <f>((H271-I271)/I271)*100</f>
        <v>55.464562500000014</v>
      </c>
    </row>
    <row r="272" spans="1:10" ht="15.75" thickBot="1">
      <c r="A272" s="22"/>
      <c r="B272" s="23"/>
      <c r="C272" s="23"/>
      <c r="D272" s="23"/>
      <c r="E272" s="23"/>
      <c r="F272" s="23"/>
      <c r="G272" s="23"/>
      <c r="H272" s="24">
        <f>SUM(H261:H271)</f>
        <v>382080.79000000004</v>
      </c>
      <c r="I272" s="25">
        <f>SUM(I261:I271)</f>
        <v>263000</v>
      </c>
      <c r="J272" s="25">
        <f>((H272-I272)/I272)*100</f>
        <v>45.277866920152107</v>
      </c>
    </row>
    <row r="276" spans="1:10">
      <c r="A276" s="1"/>
    </row>
    <row r="277" spans="1:10" ht="19.5" thickBot="1">
      <c r="A277" s="66"/>
    </row>
    <row r="278" spans="1:10" ht="15.75" thickBot="1">
      <c r="A278" s="78"/>
      <c r="B278" s="79" t="s">
        <v>27</v>
      </c>
      <c r="C278" s="79" t="s">
        <v>55</v>
      </c>
      <c r="D278" s="79" t="s">
        <v>132</v>
      </c>
      <c r="E278" s="79" t="s">
        <v>56</v>
      </c>
      <c r="F278" s="79" t="s">
        <v>57</v>
      </c>
      <c r="G278" s="79" t="s">
        <v>58</v>
      </c>
      <c r="H278" s="79" t="s">
        <v>59</v>
      </c>
      <c r="I278" s="79" t="s">
        <v>60</v>
      </c>
      <c r="J278" s="79" t="s">
        <v>133</v>
      </c>
    </row>
    <row r="279" spans="1:10" ht="15.75" thickBot="1">
      <c r="A279" s="67">
        <v>1</v>
      </c>
      <c r="B279" s="68" t="s">
        <v>21</v>
      </c>
      <c r="C279" s="68" t="s">
        <v>101</v>
      </c>
      <c r="D279" s="68" t="s">
        <v>102</v>
      </c>
      <c r="E279" s="69">
        <v>751.26800000000003</v>
      </c>
      <c r="F279" s="69">
        <v>61.32</v>
      </c>
      <c r="G279" s="8">
        <f t="shared" ref="G279:G297" si="4">E279*F279</f>
        <v>46067.75376</v>
      </c>
      <c r="H279" s="70">
        <v>46067.75</v>
      </c>
      <c r="I279" s="8">
        <v>33000</v>
      </c>
      <c r="J279" s="41">
        <f>((H279-I279)/I279)*100</f>
        <v>39.599242424242426</v>
      </c>
    </row>
    <row r="280" spans="1:10" ht="15.75" thickBot="1">
      <c r="A280" s="67">
        <v>2</v>
      </c>
      <c r="B280" s="68" t="s">
        <v>23</v>
      </c>
      <c r="C280" s="68" t="s">
        <v>101</v>
      </c>
      <c r="D280" s="68" t="s">
        <v>103</v>
      </c>
      <c r="E280" s="69">
        <v>592.48</v>
      </c>
      <c r="F280" s="69">
        <v>107.25</v>
      </c>
      <c r="G280" s="8">
        <f t="shared" si="4"/>
        <v>63543.48</v>
      </c>
      <c r="H280" s="70">
        <v>63543.48</v>
      </c>
      <c r="I280" s="8">
        <v>38000</v>
      </c>
      <c r="J280" s="41">
        <f t="shared" ref="J280:J297" si="5">((H280-I280)/I280)*100</f>
        <v>67.219684210526324</v>
      </c>
    </row>
    <row r="281" spans="1:10" ht="15.75" thickBot="1">
      <c r="A281" s="67">
        <v>3</v>
      </c>
      <c r="B281" s="68" t="s">
        <v>99</v>
      </c>
      <c r="C281" s="68" t="s">
        <v>104</v>
      </c>
      <c r="D281" s="68" t="s">
        <v>105</v>
      </c>
      <c r="E281" s="69">
        <v>21.14</v>
      </c>
      <c r="F281" s="69">
        <v>47.52</v>
      </c>
      <c r="G281" s="8">
        <f t="shared" si="4"/>
        <v>1004.5728000000001</v>
      </c>
      <c r="H281" s="70">
        <v>1004.66</v>
      </c>
      <c r="I281" s="68">
        <v>1000</v>
      </c>
      <c r="J281" s="41">
        <f t="shared" si="5"/>
        <v>0.46599999999999681</v>
      </c>
    </row>
    <row r="282" spans="1:10" ht="15.75" thickBot="1">
      <c r="A282" s="67">
        <v>4</v>
      </c>
      <c r="B282" s="68" t="s">
        <v>97</v>
      </c>
      <c r="C282" s="68" t="s">
        <v>104</v>
      </c>
      <c r="D282" s="68" t="s">
        <v>106</v>
      </c>
      <c r="E282" s="69">
        <v>12.946</v>
      </c>
      <c r="F282" s="69">
        <v>78.08</v>
      </c>
      <c r="G282" s="8">
        <f t="shared" si="4"/>
        <v>1010.82368</v>
      </c>
      <c r="H282" s="70">
        <v>1010.85</v>
      </c>
      <c r="I282" s="68">
        <v>1000</v>
      </c>
      <c r="J282" s="41">
        <f t="shared" si="5"/>
        <v>1.0850000000000022</v>
      </c>
    </row>
    <row r="283" spans="1:10" ht="15" customHeight="1" thickBot="1">
      <c r="A283" s="67">
        <v>5</v>
      </c>
      <c r="B283" s="68" t="s">
        <v>89</v>
      </c>
      <c r="C283" s="68" t="s">
        <v>107</v>
      </c>
      <c r="D283" s="68" t="s">
        <v>108</v>
      </c>
      <c r="E283" s="69">
        <v>60.164999999999999</v>
      </c>
      <c r="F283" s="69">
        <v>16.62</v>
      </c>
      <c r="G283" s="8">
        <f t="shared" si="4"/>
        <v>999.94230000000005</v>
      </c>
      <c r="H283" s="69">
        <v>999.94</v>
      </c>
      <c r="I283" s="68">
        <v>1000</v>
      </c>
      <c r="J283" s="41">
        <f t="shared" si="5"/>
        <v>-5.9999999999945436E-3</v>
      </c>
    </row>
    <row r="284" spans="1:10" ht="15.75" thickBot="1">
      <c r="A284" s="67">
        <v>6</v>
      </c>
      <c r="B284" s="68" t="s">
        <v>85</v>
      </c>
      <c r="C284" s="68" t="s">
        <v>107</v>
      </c>
      <c r="D284" s="68" t="s">
        <v>109</v>
      </c>
      <c r="E284" s="69">
        <v>20.16</v>
      </c>
      <c r="F284" s="69">
        <v>49.84</v>
      </c>
      <c r="G284" s="8">
        <f t="shared" si="4"/>
        <v>1004.7744000000001</v>
      </c>
      <c r="H284" s="70">
        <v>1004.77</v>
      </c>
      <c r="I284" s="68">
        <v>1000</v>
      </c>
      <c r="J284" s="41">
        <f t="shared" si="5"/>
        <v>0.47699999999999815</v>
      </c>
    </row>
    <row r="285" spans="1:10" ht="15.75" thickBot="1">
      <c r="A285" s="67">
        <v>7</v>
      </c>
      <c r="B285" s="68" t="s">
        <v>91</v>
      </c>
      <c r="C285" s="68" t="s">
        <v>110</v>
      </c>
      <c r="D285" s="68" t="s">
        <v>111</v>
      </c>
      <c r="E285" s="69">
        <v>22.120999999999999</v>
      </c>
      <c r="F285" s="69">
        <v>45.35</v>
      </c>
      <c r="G285" s="8">
        <f t="shared" si="4"/>
        <v>1003.1873499999999</v>
      </c>
      <c r="H285" s="70">
        <v>1003.23</v>
      </c>
      <c r="I285" s="68">
        <v>1000</v>
      </c>
      <c r="J285" s="41">
        <f t="shared" si="5"/>
        <v>0.32300000000000179</v>
      </c>
    </row>
    <row r="286" spans="1:10" ht="15.75" thickBot="1">
      <c r="A286" s="67">
        <v>8</v>
      </c>
      <c r="B286" s="68" t="s">
        <v>87</v>
      </c>
      <c r="C286" s="68" t="s">
        <v>110</v>
      </c>
      <c r="D286" s="68" t="s">
        <v>112</v>
      </c>
      <c r="E286" s="69">
        <v>11.71</v>
      </c>
      <c r="F286" s="69">
        <v>85.86</v>
      </c>
      <c r="G286" s="8">
        <f t="shared" si="4"/>
        <v>1005.4206</v>
      </c>
      <c r="H286" s="70">
        <v>1005.42</v>
      </c>
      <c r="I286" s="68">
        <v>1000</v>
      </c>
      <c r="J286" s="41">
        <f t="shared" si="5"/>
        <v>0.54199999999999582</v>
      </c>
    </row>
    <row r="287" spans="1:10" ht="15.75" thickBot="1">
      <c r="A287" s="67">
        <v>9</v>
      </c>
      <c r="B287" s="68" t="s">
        <v>41</v>
      </c>
      <c r="C287" s="68" t="s">
        <v>113</v>
      </c>
      <c r="D287" s="68" t="s">
        <v>114</v>
      </c>
      <c r="E287" s="69">
        <v>28.779</v>
      </c>
      <c r="F287" s="69">
        <v>187.09</v>
      </c>
      <c r="G287" s="8">
        <f t="shared" si="4"/>
        <v>5384.2631099999999</v>
      </c>
      <c r="H287" s="70">
        <v>5384.35</v>
      </c>
      <c r="I287" s="68">
        <v>5000</v>
      </c>
      <c r="J287" s="41">
        <f t="shared" si="5"/>
        <v>7.6870000000000074</v>
      </c>
    </row>
    <row r="288" spans="1:10" ht="15.75" thickBot="1">
      <c r="A288" s="67">
        <v>10</v>
      </c>
      <c r="B288" s="68" t="s">
        <v>19</v>
      </c>
      <c r="C288" s="71" t="s">
        <v>115</v>
      </c>
      <c r="D288" s="71" t="s">
        <v>116</v>
      </c>
      <c r="E288" s="69">
        <v>468.185</v>
      </c>
      <c r="F288" s="69">
        <v>109.1</v>
      </c>
      <c r="G288" s="8">
        <f t="shared" si="4"/>
        <v>51078.983499999995</v>
      </c>
      <c r="H288" s="70">
        <v>51078.98</v>
      </c>
      <c r="I288" s="8">
        <v>33000</v>
      </c>
      <c r="J288" s="41">
        <f t="shared" si="5"/>
        <v>54.784787878787888</v>
      </c>
    </row>
    <row r="289" spans="1:10" ht="15.75" thickBot="1">
      <c r="A289" s="67">
        <v>11</v>
      </c>
      <c r="B289" s="68" t="s">
        <v>17</v>
      </c>
      <c r="C289" s="68" t="s">
        <v>115</v>
      </c>
      <c r="D289" s="68" t="s">
        <v>117</v>
      </c>
      <c r="E289" s="69">
        <v>583.18799999999999</v>
      </c>
      <c r="F289" s="69">
        <v>92.29</v>
      </c>
      <c r="G289" s="8">
        <f t="shared" si="4"/>
        <v>53822.42052</v>
      </c>
      <c r="H289" s="70">
        <v>53822.42</v>
      </c>
      <c r="I289" s="8">
        <v>33000</v>
      </c>
      <c r="J289" s="41">
        <f t="shared" si="5"/>
        <v>63.098242424242422</v>
      </c>
    </row>
    <row r="290" spans="1:10" ht="15.75" thickBot="1">
      <c r="A290" s="67">
        <v>12</v>
      </c>
      <c r="B290" s="68" t="s">
        <v>11</v>
      </c>
      <c r="C290" s="68" t="s">
        <v>118</v>
      </c>
      <c r="D290" s="68" t="s">
        <v>119</v>
      </c>
      <c r="E290" s="69">
        <v>409.79599999999999</v>
      </c>
      <c r="F290" s="69">
        <v>112.72</v>
      </c>
      <c r="G290" s="8">
        <f t="shared" si="4"/>
        <v>46192.205119999999</v>
      </c>
      <c r="H290" s="70">
        <v>46190.98</v>
      </c>
      <c r="I290" s="8">
        <v>34000</v>
      </c>
      <c r="J290" s="41">
        <f t="shared" si="5"/>
        <v>35.855823529411772</v>
      </c>
    </row>
    <row r="291" spans="1:10" ht="15.75" thickBot="1">
      <c r="A291" s="67">
        <v>13</v>
      </c>
      <c r="B291" s="68" t="s">
        <v>40</v>
      </c>
      <c r="C291" s="68" t="s">
        <v>120</v>
      </c>
      <c r="D291" s="68" t="s">
        <v>121</v>
      </c>
      <c r="E291" s="69">
        <v>58.671999999999997</v>
      </c>
      <c r="F291" s="69">
        <v>89.62</v>
      </c>
      <c r="G291" s="8">
        <f t="shared" si="4"/>
        <v>5258.1846400000004</v>
      </c>
      <c r="H291" s="70">
        <v>5258.19</v>
      </c>
      <c r="I291" s="8">
        <v>5000</v>
      </c>
      <c r="J291" s="41">
        <f t="shared" si="5"/>
        <v>5.1637999999999922</v>
      </c>
    </row>
    <row r="292" spans="1:10" ht="15.75" thickBot="1">
      <c r="A292" s="67">
        <v>14</v>
      </c>
      <c r="B292" s="68" t="s">
        <v>37</v>
      </c>
      <c r="C292" s="68" t="s">
        <v>120</v>
      </c>
      <c r="D292" s="68" t="s">
        <v>122</v>
      </c>
      <c r="E292" s="69">
        <v>119.657</v>
      </c>
      <c r="F292" s="69">
        <v>180.55</v>
      </c>
      <c r="G292" s="8">
        <f t="shared" si="4"/>
        <v>21604.071350000002</v>
      </c>
      <c r="H292" s="70">
        <v>21603.83</v>
      </c>
      <c r="I292" s="8">
        <v>13000</v>
      </c>
      <c r="J292" s="41">
        <f t="shared" si="5"/>
        <v>66.183307692307707</v>
      </c>
    </row>
    <row r="293" spans="1:10" ht="15.75" thickBot="1">
      <c r="A293" s="67">
        <v>15</v>
      </c>
      <c r="B293" s="68" t="s">
        <v>42</v>
      </c>
      <c r="C293" s="68" t="s">
        <v>123</v>
      </c>
      <c r="D293" s="68" t="s">
        <v>124</v>
      </c>
      <c r="E293" s="69">
        <v>37.808999999999997</v>
      </c>
      <c r="F293" s="69">
        <v>282.60000000000002</v>
      </c>
      <c r="G293" s="8">
        <f t="shared" si="4"/>
        <v>10684.823399999999</v>
      </c>
      <c r="H293" s="70">
        <v>10684.98</v>
      </c>
      <c r="I293" s="68">
        <v>10000</v>
      </c>
      <c r="J293" s="41">
        <f t="shared" si="5"/>
        <v>6.8497999999999966</v>
      </c>
    </row>
    <row r="294" spans="1:10" ht="15.75" thickBot="1">
      <c r="A294" s="67">
        <v>16</v>
      </c>
      <c r="B294" s="68" t="s">
        <v>15</v>
      </c>
      <c r="C294" s="68" t="s">
        <v>125</v>
      </c>
      <c r="D294" s="68" t="s">
        <v>126</v>
      </c>
      <c r="E294" s="69">
        <v>622.45299999999997</v>
      </c>
      <c r="F294" s="69">
        <v>91.48</v>
      </c>
      <c r="G294" s="8">
        <f t="shared" si="4"/>
        <v>56942.000440000003</v>
      </c>
      <c r="H294" s="70">
        <v>56940.13</v>
      </c>
      <c r="I294" s="39">
        <v>39000</v>
      </c>
      <c r="J294" s="41">
        <f t="shared" si="5"/>
        <v>46.000333333333323</v>
      </c>
    </row>
    <row r="295" spans="1:10" ht="15.75" thickBot="1">
      <c r="A295" s="67">
        <v>17</v>
      </c>
      <c r="B295" s="68" t="s">
        <v>13</v>
      </c>
      <c r="C295" s="68" t="s">
        <v>125</v>
      </c>
      <c r="D295" s="68" t="s">
        <v>127</v>
      </c>
      <c r="E295" s="69">
        <v>286.21600000000001</v>
      </c>
      <c r="F295" s="69">
        <v>186.49</v>
      </c>
      <c r="G295" s="8">
        <f t="shared" si="4"/>
        <v>53376.421840000003</v>
      </c>
      <c r="H295" s="70">
        <v>53376.99</v>
      </c>
      <c r="I295" s="8">
        <v>33000</v>
      </c>
      <c r="J295" s="41">
        <f t="shared" si="5"/>
        <v>61.748454545454535</v>
      </c>
    </row>
    <row r="296" spans="1:10" ht="18" customHeight="1" thickBot="1">
      <c r="A296" s="67">
        <v>18</v>
      </c>
      <c r="B296" s="68" t="s">
        <v>95</v>
      </c>
      <c r="C296" s="68" t="s">
        <v>128</v>
      </c>
      <c r="D296" s="68" t="s">
        <v>129</v>
      </c>
      <c r="E296" s="69">
        <v>23.33</v>
      </c>
      <c r="F296" s="69">
        <v>43.17</v>
      </c>
      <c r="G296" s="8">
        <f t="shared" si="4"/>
        <v>1007.1560999999999</v>
      </c>
      <c r="H296" s="70">
        <v>1007.04</v>
      </c>
      <c r="I296" s="69">
        <v>1000</v>
      </c>
      <c r="J296" s="41">
        <f t="shared" si="5"/>
        <v>0.70399999999999641</v>
      </c>
    </row>
    <row r="297" spans="1:10" ht="15.75" thickBot="1">
      <c r="A297" s="67">
        <v>19</v>
      </c>
      <c r="B297" s="68" t="s">
        <v>93</v>
      </c>
      <c r="C297" s="68" t="s">
        <v>130</v>
      </c>
      <c r="D297" s="68" t="s">
        <v>131</v>
      </c>
      <c r="E297" s="69">
        <v>37.372</v>
      </c>
      <c r="F297" s="69">
        <v>26.8</v>
      </c>
      <c r="G297" s="8">
        <f t="shared" si="4"/>
        <v>1001.5696</v>
      </c>
      <c r="H297" s="70">
        <v>1001.5</v>
      </c>
      <c r="I297" s="69">
        <v>1000</v>
      </c>
      <c r="J297" s="41">
        <f t="shared" si="5"/>
        <v>0.15</v>
      </c>
    </row>
    <row r="298" spans="1:10" ht="15.75" thickBot="1">
      <c r="A298" s="72"/>
      <c r="B298" s="68"/>
      <c r="C298" s="68"/>
      <c r="D298" s="68"/>
      <c r="E298" s="68"/>
      <c r="F298" s="68"/>
      <c r="G298" s="68"/>
      <c r="H298" s="68"/>
      <c r="I298" s="68"/>
      <c r="J298" s="68"/>
    </row>
    <row r="299" spans="1:10" ht="15.75" thickBot="1">
      <c r="A299" s="72"/>
      <c r="B299" s="68"/>
      <c r="C299" s="68"/>
      <c r="D299" s="68"/>
      <c r="E299" s="68"/>
      <c r="F299" s="68"/>
      <c r="G299" s="68"/>
      <c r="H299" s="68"/>
      <c r="I299" s="68"/>
      <c r="J299" s="68"/>
    </row>
    <row r="300" spans="1:10" ht="15.75" thickBot="1">
      <c r="A300" s="72"/>
      <c r="B300" s="68"/>
      <c r="C300" s="68"/>
      <c r="D300" s="68"/>
      <c r="E300" s="68"/>
      <c r="F300" s="68"/>
      <c r="G300" s="68"/>
      <c r="H300" s="68"/>
      <c r="I300" s="68"/>
      <c r="J300" s="68"/>
    </row>
    <row r="301" spans="1:10" ht="15.75" thickBot="1">
      <c r="A301" s="72"/>
      <c r="B301" s="68"/>
      <c r="C301" s="68"/>
      <c r="D301" s="68"/>
      <c r="E301" s="68"/>
      <c r="F301" s="68"/>
      <c r="G301" s="68"/>
      <c r="H301" s="68"/>
      <c r="I301" s="68"/>
      <c r="J301" s="68"/>
    </row>
    <row r="302" spans="1:10" ht="15.75" thickBot="1">
      <c r="A302" s="72"/>
      <c r="B302" s="68"/>
      <c r="C302" s="68"/>
      <c r="D302" s="68"/>
      <c r="E302" s="68"/>
      <c r="F302" s="68"/>
      <c r="G302" s="68"/>
      <c r="H302" s="68"/>
      <c r="I302" s="68"/>
      <c r="J302" s="68"/>
    </row>
    <row r="303" spans="1:10" ht="15.75" thickBot="1">
      <c r="A303" s="73"/>
      <c r="B303" s="74"/>
      <c r="C303" s="74"/>
      <c r="D303" s="74"/>
      <c r="E303" s="74"/>
      <c r="F303" s="74"/>
      <c r="G303" s="74">
        <f>SUM(G279:G302)</f>
        <v>421992.05450999993</v>
      </c>
      <c r="H303" s="24">
        <f>SUM(H279:H302)</f>
        <v>421989.49</v>
      </c>
      <c r="I303" s="24">
        <f>SUM(I279:I302)</f>
        <v>284000</v>
      </c>
      <c r="J303" s="25">
        <f>((H303-I303)/I303)*100</f>
        <v>48.587848591549296</v>
      </c>
    </row>
    <row r="304" spans="1:10">
      <c r="A304" s="1"/>
    </row>
    <row r="305" spans="1:10" ht="15.75" thickBot="1"/>
    <row r="306" spans="1:10" ht="15.75" thickBot="1">
      <c r="A306" s="78"/>
      <c r="B306" s="79" t="s">
        <v>29</v>
      </c>
      <c r="C306" s="79" t="s">
        <v>55</v>
      </c>
      <c r="D306" s="79" t="s">
        <v>132</v>
      </c>
      <c r="E306" s="79" t="s">
        <v>56</v>
      </c>
      <c r="F306" s="79" t="s">
        <v>57</v>
      </c>
      <c r="G306" s="79" t="s">
        <v>58</v>
      </c>
      <c r="H306" s="79" t="s">
        <v>59</v>
      </c>
      <c r="I306" s="79" t="s">
        <v>60</v>
      </c>
      <c r="J306" s="79" t="s">
        <v>133</v>
      </c>
    </row>
    <row r="307" spans="1:10" ht="15.75" thickBot="1">
      <c r="A307" s="67">
        <v>1</v>
      </c>
      <c r="B307" s="68" t="s">
        <v>21</v>
      </c>
      <c r="C307" s="68" t="s">
        <v>101</v>
      </c>
      <c r="D307" s="68" t="s">
        <v>102</v>
      </c>
      <c r="E307" s="69">
        <v>784.81100000000004</v>
      </c>
      <c r="F307" s="69">
        <v>56.89</v>
      </c>
      <c r="G307" s="8">
        <f t="shared" ref="G307:G326" si="6">E307*F307</f>
        <v>44647.897790000003</v>
      </c>
      <c r="H307" s="70">
        <v>44647.898000000001</v>
      </c>
      <c r="I307" s="8">
        <v>35000</v>
      </c>
      <c r="J307" s="41">
        <f t="shared" ref="J307:J326" si="7">((H307-I307)/I307)*100</f>
        <v>27.565422857142863</v>
      </c>
    </row>
    <row r="308" spans="1:10" ht="15.75" thickBot="1">
      <c r="A308" s="67">
        <v>2</v>
      </c>
      <c r="B308" s="68" t="s">
        <v>23</v>
      </c>
      <c r="C308" s="68" t="s">
        <v>101</v>
      </c>
      <c r="D308" s="68" t="s">
        <v>103</v>
      </c>
      <c r="E308" s="69">
        <v>611.39400000000001</v>
      </c>
      <c r="F308" s="69">
        <v>100.76</v>
      </c>
      <c r="G308" s="8">
        <f t="shared" si="6"/>
        <v>61604.059440000005</v>
      </c>
      <c r="H308" s="70">
        <v>61604.059000000001</v>
      </c>
      <c r="I308" s="8">
        <v>40000</v>
      </c>
      <c r="J308" s="41">
        <f t="shared" si="7"/>
        <v>54.010147500000002</v>
      </c>
    </row>
    <row r="309" spans="1:10" ht="15.75" thickBot="1">
      <c r="A309" s="67">
        <v>3</v>
      </c>
      <c r="B309" s="68" t="s">
        <v>99</v>
      </c>
      <c r="C309" s="68" t="s">
        <v>104</v>
      </c>
      <c r="D309" s="68" t="s">
        <v>105</v>
      </c>
      <c r="E309" s="69">
        <v>42.113999999999997</v>
      </c>
      <c r="F309" s="69">
        <v>44.22</v>
      </c>
      <c r="G309" s="8">
        <f t="shared" si="6"/>
        <v>1862.2810799999997</v>
      </c>
      <c r="H309" s="70">
        <v>1862.45</v>
      </c>
      <c r="I309" s="68">
        <v>2000</v>
      </c>
      <c r="J309" s="41">
        <f t="shared" si="7"/>
        <v>-6.8774999999999977</v>
      </c>
    </row>
    <row r="310" spans="1:10" ht="15.75" thickBot="1">
      <c r="A310" s="67">
        <v>4</v>
      </c>
      <c r="B310" s="68" t="s">
        <v>97</v>
      </c>
      <c r="C310" s="68" t="s">
        <v>104</v>
      </c>
      <c r="D310" s="68" t="s">
        <v>106</v>
      </c>
      <c r="E310" s="69">
        <v>26.184000000000001</v>
      </c>
      <c r="F310" s="69">
        <v>72.540000000000006</v>
      </c>
      <c r="G310" s="8">
        <f t="shared" si="6"/>
        <v>1899.3873600000002</v>
      </c>
      <c r="H310" s="70">
        <v>1899.2560000000001</v>
      </c>
      <c r="I310" s="68">
        <v>2000</v>
      </c>
      <c r="J310" s="41">
        <f t="shared" si="7"/>
        <v>-5.0371999999999959</v>
      </c>
    </row>
    <row r="311" spans="1:10" ht="15.75" thickBot="1">
      <c r="A311" s="67">
        <v>5</v>
      </c>
      <c r="B311" s="68" t="s">
        <v>89</v>
      </c>
      <c r="C311" s="68" t="s">
        <v>107</v>
      </c>
      <c r="D311" s="68" t="s">
        <v>108</v>
      </c>
      <c r="E311" s="69">
        <v>121.474</v>
      </c>
      <c r="F311" s="69">
        <v>15.48</v>
      </c>
      <c r="G311" s="8">
        <f t="shared" si="6"/>
        <v>1880.4175200000002</v>
      </c>
      <c r="H311" s="70">
        <v>1880.4179999999999</v>
      </c>
      <c r="I311" s="68">
        <v>2000</v>
      </c>
      <c r="J311" s="41">
        <f t="shared" si="7"/>
        <v>-5.9791000000000052</v>
      </c>
    </row>
    <row r="312" spans="1:10" ht="15.75" thickBot="1">
      <c r="A312" s="67">
        <v>6</v>
      </c>
      <c r="B312" s="68" t="s">
        <v>85</v>
      </c>
      <c r="C312" s="68" t="s">
        <v>107</v>
      </c>
      <c r="D312" s="68" t="s">
        <v>109</v>
      </c>
      <c r="E312" s="69">
        <v>61.026000000000003</v>
      </c>
      <c r="F312" s="69">
        <v>46.76</v>
      </c>
      <c r="G312" s="8">
        <f t="shared" si="6"/>
        <v>2853.5757600000002</v>
      </c>
      <c r="H312" s="70">
        <v>2853.576</v>
      </c>
      <c r="I312" s="68">
        <v>3000</v>
      </c>
      <c r="J312" s="41">
        <f t="shared" si="7"/>
        <v>-4.8807999999999989</v>
      </c>
    </row>
    <row r="313" spans="1:10" ht="15.75" thickBot="1">
      <c r="A313" s="67">
        <v>7</v>
      </c>
      <c r="B313" s="68" t="s">
        <v>91</v>
      </c>
      <c r="C313" s="68" t="s">
        <v>110</v>
      </c>
      <c r="D313" s="68" t="s">
        <v>111</v>
      </c>
      <c r="E313" s="69">
        <v>44.177</v>
      </c>
      <c r="F313" s="69">
        <v>42.57</v>
      </c>
      <c r="G313" s="8">
        <f t="shared" si="6"/>
        <v>1880.6148900000001</v>
      </c>
      <c r="H313" s="70">
        <v>1880.615</v>
      </c>
      <c r="I313" s="68">
        <v>2000</v>
      </c>
      <c r="J313" s="41">
        <f t="shared" si="7"/>
        <v>-5.9692499999999997</v>
      </c>
    </row>
    <row r="314" spans="1:10" ht="15.75" thickBot="1">
      <c r="A314" s="67">
        <v>8</v>
      </c>
      <c r="B314" s="68" t="s">
        <v>87</v>
      </c>
      <c r="C314" s="68" t="s">
        <v>158</v>
      </c>
      <c r="D314" s="68" t="s">
        <v>160</v>
      </c>
      <c r="E314" s="69">
        <v>23.58</v>
      </c>
      <c r="F314" s="69">
        <v>80.34</v>
      </c>
      <c r="G314" s="8">
        <f t="shared" si="6"/>
        <v>1894.4171999999999</v>
      </c>
      <c r="H314" s="70">
        <v>1894.4169999999999</v>
      </c>
      <c r="I314" s="68">
        <v>2000</v>
      </c>
      <c r="J314" s="41">
        <f t="shared" si="7"/>
        <v>-5.279150000000004</v>
      </c>
    </row>
    <row r="315" spans="1:10" ht="15.75" thickBot="1">
      <c r="A315" s="67">
        <v>9</v>
      </c>
      <c r="B315" s="68" t="s">
        <v>41</v>
      </c>
      <c r="C315" s="68" t="s">
        <v>156</v>
      </c>
      <c r="D315" s="68" t="s">
        <v>161</v>
      </c>
      <c r="E315" s="69">
        <v>39.957999999999998</v>
      </c>
      <c r="F315" s="69">
        <v>169.53</v>
      </c>
      <c r="G315" s="8">
        <f t="shared" si="6"/>
        <v>6774.0797400000001</v>
      </c>
      <c r="H315" s="70">
        <v>6774</v>
      </c>
      <c r="I315" s="68">
        <v>7000</v>
      </c>
      <c r="J315" s="41">
        <f t="shared" si="7"/>
        <v>-3.2285714285714286</v>
      </c>
    </row>
    <row r="316" spans="1:10" ht="15.75" thickBot="1">
      <c r="A316" s="67">
        <v>10</v>
      </c>
      <c r="B316" s="68" t="s">
        <v>147</v>
      </c>
      <c r="C316" s="71" t="s">
        <v>157</v>
      </c>
      <c r="D316" s="71" t="s">
        <v>103</v>
      </c>
      <c r="E316" s="69">
        <v>14.276</v>
      </c>
      <c r="F316" s="69">
        <v>133.96</v>
      </c>
      <c r="G316" s="8">
        <f t="shared" si="6"/>
        <v>1912.4129600000001</v>
      </c>
      <c r="H316" s="70">
        <v>1912.356</v>
      </c>
      <c r="I316" s="88">
        <v>2000</v>
      </c>
      <c r="J316" s="41">
        <f t="shared" si="7"/>
        <v>-4.3822000000000001</v>
      </c>
    </row>
    <row r="317" spans="1:10" ht="15.75" thickBot="1">
      <c r="A317" s="67">
        <v>11</v>
      </c>
      <c r="B317" s="68" t="s">
        <v>19</v>
      </c>
      <c r="C317" s="68" t="s">
        <v>115</v>
      </c>
      <c r="D317" s="68" t="s">
        <v>116</v>
      </c>
      <c r="E317" s="69">
        <v>486.84</v>
      </c>
      <c r="F317" s="69">
        <v>103.17</v>
      </c>
      <c r="G317" s="8">
        <f t="shared" si="6"/>
        <v>50227.282800000001</v>
      </c>
      <c r="H317" s="70">
        <v>50227.283000000003</v>
      </c>
      <c r="I317" s="8">
        <v>35000</v>
      </c>
      <c r="J317" s="41">
        <f t="shared" si="7"/>
        <v>43.506522857142862</v>
      </c>
    </row>
    <row r="318" spans="1:10" ht="15.75" thickBot="1">
      <c r="A318" s="67">
        <v>12</v>
      </c>
      <c r="B318" s="68" t="s">
        <v>17</v>
      </c>
      <c r="C318" s="68" t="s">
        <v>115</v>
      </c>
      <c r="D318" s="68" t="s">
        <v>117</v>
      </c>
      <c r="E318" s="69">
        <v>605.64599999999996</v>
      </c>
      <c r="F318" s="69">
        <v>84.61</v>
      </c>
      <c r="G318" s="8">
        <f t="shared" si="6"/>
        <v>51243.708059999997</v>
      </c>
      <c r="H318" s="70">
        <v>51243.707999999999</v>
      </c>
      <c r="I318" s="8">
        <v>35000</v>
      </c>
      <c r="J318" s="41">
        <f t="shared" si="7"/>
        <v>46.410594285714282</v>
      </c>
    </row>
    <row r="319" spans="1:10" ht="15.75" thickBot="1">
      <c r="A319" s="67">
        <v>13</v>
      </c>
      <c r="B319" s="68" t="s">
        <v>11</v>
      </c>
      <c r="C319" s="68" t="s">
        <v>159</v>
      </c>
      <c r="D319" s="68" t="s">
        <v>119</v>
      </c>
      <c r="E319" s="69">
        <v>427.834</v>
      </c>
      <c r="F319" s="69">
        <v>105.73</v>
      </c>
      <c r="G319" s="8">
        <f t="shared" si="6"/>
        <v>45234.88882</v>
      </c>
      <c r="H319" s="70">
        <v>45234.033000000003</v>
      </c>
      <c r="I319" s="8">
        <v>37000</v>
      </c>
      <c r="J319" s="41">
        <f t="shared" si="7"/>
        <v>22.254143243243252</v>
      </c>
    </row>
    <row r="320" spans="1:10" ht="15.75" thickBot="1">
      <c r="A320" s="67">
        <v>14</v>
      </c>
      <c r="B320" s="68" t="s">
        <v>40</v>
      </c>
      <c r="C320" s="68" t="s">
        <v>120</v>
      </c>
      <c r="D320" s="68" t="s">
        <v>121</v>
      </c>
      <c r="E320" s="69">
        <v>81.402000000000001</v>
      </c>
      <c r="F320" s="69">
        <v>84.71</v>
      </c>
      <c r="G320" s="8">
        <f t="shared" si="6"/>
        <v>6895.5634199999995</v>
      </c>
      <c r="H320" s="70">
        <v>6895.3190000000004</v>
      </c>
      <c r="I320" s="8">
        <v>7000</v>
      </c>
      <c r="J320" s="41">
        <f t="shared" si="7"/>
        <v>-1.4954428571428513</v>
      </c>
    </row>
    <row r="321" spans="1:10" ht="15.75" thickBot="1">
      <c r="A321" s="67">
        <v>15</v>
      </c>
      <c r="B321" s="68" t="s">
        <v>37</v>
      </c>
      <c r="C321" s="68" t="s">
        <v>120</v>
      </c>
      <c r="D321" s="68" t="s">
        <v>122</v>
      </c>
      <c r="E321" s="69">
        <v>130.97499999999999</v>
      </c>
      <c r="F321" s="69">
        <v>167.08</v>
      </c>
      <c r="G321" s="8">
        <f t="shared" si="6"/>
        <v>21883.303</v>
      </c>
      <c r="H321" s="70">
        <v>21883.564999999999</v>
      </c>
      <c r="I321" s="8">
        <v>15000</v>
      </c>
      <c r="J321" s="41">
        <f t="shared" si="7"/>
        <v>45.890433333333327</v>
      </c>
    </row>
    <row r="322" spans="1:10" ht="15.75" thickBot="1">
      <c r="A322" s="67">
        <v>16</v>
      </c>
      <c r="B322" s="68" t="s">
        <v>42</v>
      </c>
      <c r="C322" s="68" t="s">
        <v>123</v>
      </c>
      <c r="D322" s="68" t="s">
        <v>124</v>
      </c>
      <c r="E322" s="69">
        <v>52.546999999999997</v>
      </c>
      <c r="F322" s="69">
        <v>257.11</v>
      </c>
      <c r="G322" s="8">
        <f t="shared" si="6"/>
        <v>13510.35917</v>
      </c>
      <c r="H322" s="70">
        <v>13510.464</v>
      </c>
      <c r="I322" s="68">
        <v>14000</v>
      </c>
      <c r="J322" s="41">
        <f t="shared" si="7"/>
        <v>-3.4966857142857148</v>
      </c>
    </row>
    <row r="323" spans="1:10" ht="15.75" thickBot="1">
      <c r="A323" s="67">
        <v>17</v>
      </c>
      <c r="B323" s="68" t="s">
        <v>15</v>
      </c>
      <c r="C323" s="68" t="s">
        <v>125</v>
      </c>
      <c r="D323" s="68" t="s">
        <v>162</v>
      </c>
      <c r="E323" s="69">
        <v>644.44399999999996</v>
      </c>
      <c r="F323" s="69">
        <v>86.97</v>
      </c>
      <c r="G323" s="8">
        <f t="shared" si="6"/>
        <v>56047.294679999999</v>
      </c>
      <c r="H323" s="70">
        <v>56044.072</v>
      </c>
      <c r="I323" s="39">
        <v>41000</v>
      </c>
      <c r="J323" s="41">
        <f t="shared" si="7"/>
        <v>36.692858536585362</v>
      </c>
    </row>
    <row r="324" spans="1:10" ht="15.75" thickBot="1">
      <c r="A324" s="67">
        <v>18</v>
      </c>
      <c r="B324" s="68" t="s">
        <v>13</v>
      </c>
      <c r="C324" s="68" t="s">
        <v>125</v>
      </c>
      <c r="D324" s="68" t="s">
        <v>163</v>
      </c>
      <c r="E324" s="69">
        <v>297.24299999999999</v>
      </c>
      <c r="F324" s="69">
        <v>171.05</v>
      </c>
      <c r="G324" s="8">
        <f t="shared" si="6"/>
        <v>50843.415150000001</v>
      </c>
      <c r="H324" s="70">
        <v>50843.415000000001</v>
      </c>
      <c r="I324" s="8">
        <v>35000</v>
      </c>
      <c r="J324" s="41">
        <f t="shared" si="7"/>
        <v>45.266900000000007</v>
      </c>
    </row>
    <row r="325" spans="1:10" ht="15.75" thickBot="1">
      <c r="A325" s="67">
        <v>19</v>
      </c>
      <c r="B325" s="68" t="s">
        <v>95</v>
      </c>
      <c r="C325" s="68" t="s">
        <v>128</v>
      </c>
      <c r="D325" s="68" t="s">
        <v>129</v>
      </c>
      <c r="E325" s="69">
        <v>45.957999999999998</v>
      </c>
      <c r="F325" s="69">
        <v>40.869999999999997</v>
      </c>
      <c r="G325" s="8">
        <f t="shared" si="6"/>
        <v>1878.3034599999999</v>
      </c>
      <c r="H325" s="70">
        <v>1878.212</v>
      </c>
      <c r="I325" s="69">
        <v>2000</v>
      </c>
      <c r="J325" s="41">
        <f t="shared" si="7"/>
        <v>-6.0894000000000004</v>
      </c>
    </row>
    <row r="326" spans="1:10" ht="15.75" thickBot="1">
      <c r="A326" s="72">
        <v>20</v>
      </c>
      <c r="B326" s="68" t="s">
        <v>93</v>
      </c>
      <c r="C326" s="68" t="s">
        <v>130</v>
      </c>
      <c r="D326" s="68" t="s">
        <v>164</v>
      </c>
      <c r="E326" s="68">
        <v>75.010999999999996</v>
      </c>
      <c r="F326" s="68">
        <v>25.05</v>
      </c>
      <c r="G326" s="8">
        <f t="shared" si="6"/>
        <v>1879.0255499999998</v>
      </c>
      <c r="H326" s="87">
        <v>1878.8009999999999</v>
      </c>
      <c r="I326" s="69">
        <v>2000</v>
      </c>
      <c r="J326" s="41">
        <f t="shared" si="7"/>
        <v>-6.0599500000000033</v>
      </c>
    </row>
    <row r="327" spans="1:10" ht="15.75" thickBot="1">
      <c r="A327" s="72"/>
      <c r="B327" s="68"/>
      <c r="C327" s="68"/>
      <c r="D327" s="68"/>
      <c r="E327" s="68"/>
      <c r="F327" s="68"/>
      <c r="G327" s="68"/>
      <c r="H327" s="68"/>
      <c r="I327" s="68"/>
      <c r="J327" s="68"/>
    </row>
    <row r="328" spans="1:10" ht="15.75" thickBot="1">
      <c r="A328" s="72"/>
      <c r="B328" s="68"/>
      <c r="C328" s="68"/>
      <c r="D328" s="68"/>
      <c r="E328" s="68"/>
      <c r="F328" s="68"/>
      <c r="G328" s="68"/>
      <c r="H328" s="68"/>
      <c r="I328" s="68"/>
      <c r="J328" s="68"/>
    </row>
    <row r="329" spans="1:10" ht="15.75" thickBot="1">
      <c r="A329" s="72"/>
      <c r="B329" s="68"/>
      <c r="C329" s="68"/>
      <c r="D329" s="68"/>
      <c r="E329" s="68"/>
      <c r="F329" s="68"/>
      <c r="G329" s="68"/>
      <c r="H329" s="68"/>
      <c r="I329" s="68"/>
      <c r="J329" s="68"/>
    </row>
    <row r="330" spans="1:10" ht="15.75" thickBot="1">
      <c r="A330" s="72"/>
      <c r="B330" s="68"/>
      <c r="C330" s="68"/>
      <c r="D330" s="68"/>
      <c r="E330" s="68"/>
      <c r="F330" s="68"/>
      <c r="G330" s="68"/>
      <c r="H330" s="68"/>
      <c r="I330" s="68"/>
      <c r="J330" s="68"/>
    </row>
    <row r="331" spans="1:10" ht="15.75" thickBot="1">
      <c r="A331" s="73"/>
      <c r="B331" s="74"/>
      <c r="C331" s="74"/>
      <c r="D331" s="74"/>
      <c r="E331" s="74"/>
      <c r="F331" s="74"/>
      <c r="G331" s="74">
        <f>SUM(G307:G330)</f>
        <v>426852.28785000014</v>
      </c>
      <c r="H331" s="24">
        <f>SUM(H307:H330)</f>
        <v>426847.91699999996</v>
      </c>
      <c r="I331" s="24">
        <f>SUM(I307:I330)</f>
        <v>320000</v>
      </c>
      <c r="J331" s="25">
        <f>((H331-I331)/I331)*100</f>
        <v>33.389974062499988</v>
      </c>
    </row>
    <row r="333" spans="1:10" ht="15.75" thickBot="1"/>
    <row r="334" spans="1:10" ht="15.75" thickBot="1">
      <c r="A334" s="78"/>
      <c r="B334" s="79" t="s">
        <v>30</v>
      </c>
      <c r="C334" s="79" t="s">
        <v>55</v>
      </c>
      <c r="D334" s="79" t="s">
        <v>132</v>
      </c>
      <c r="E334" s="79" t="s">
        <v>56</v>
      </c>
      <c r="F334" s="79" t="s">
        <v>57</v>
      </c>
      <c r="G334" s="79" t="s">
        <v>58</v>
      </c>
      <c r="H334" s="79" t="s">
        <v>59</v>
      </c>
      <c r="I334" s="79" t="s">
        <v>60</v>
      </c>
      <c r="J334" s="79" t="s">
        <v>133</v>
      </c>
    </row>
    <row r="335" spans="1:10" ht="15.75" thickBot="1">
      <c r="A335" s="67">
        <v>1</v>
      </c>
      <c r="B335" s="68" t="s">
        <v>21</v>
      </c>
      <c r="C335" s="68" t="s">
        <v>101</v>
      </c>
      <c r="D335" s="68" t="s">
        <v>102</v>
      </c>
      <c r="E335" s="69">
        <v>801.44100000000003</v>
      </c>
      <c r="F335" s="69">
        <v>60.49</v>
      </c>
      <c r="G335" s="8">
        <f t="shared" ref="G335:G354" si="8">E335*F335</f>
        <v>48479.166090000006</v>
      </c>
      <c r="H335" s="70">
        <v>48479.165999999997</v>
      </c>
      <c r="I335" s="8">
        <v>36000</v>
      </c>
      <c r="J335" s="41">
        <f t="shared" ref="J335:J354" si="9">((H335-I335)/I335)*100</f>
        <v>34.664349999999992</v>
      </c>
    </row>
    <row r="336" spans="1:10" ht="15.75" thickBot="1">
      <c r="A336" s="67">
        <v>2</v>
      </c>
      <c r="B336" s="68" t="s">
        <v>23</v>
      </c>
      <c r="C336" s="68" t="s">
        <v>101</v>
      </c>
      <c r="D336" s="68" t="s">
        <v>103</v>
      </c>
      <c r="E336" s="69">
        <v>620.51</v>
      </c>
      <c r="F336" s="69">
        <v>110</v>
      </c>
      <c r="G336" s="8">
        <f t="shared" si="8"/>
        <v>68256.100000000006</v>
      </c>
      <c r="H336" s="70">
        <v>68256.100000000006</v>
      </c>
      <c r="I336" s="8">
        <v>41000</v>
      </c>
      <c r="J336" s="41">
        <f t="shared" si="9"/>
        <v>66.478292682926849</v>
      </c>
    </row>
    <row r="337" spans="1:10" ht="15.75" thickBot="1">
      <c r="A337" s="67">
        <v>3</v>
      </c>
      <c r="B337" s="68" t="s">
        <v>99</v>
      </c>
      <c r="C337" s="68" t="s">
        <v>104</v>
      </c>
      <c r="D337" s="68" t="s">
        <v>105</v>
      </c>
      <c r="E337" s="69">
        <v>62.744</v>
      </c>
      <c r="F337" s="69">
        <v>48.65</v>
      </c>
      <c r="G337" s="8">
        <f t="shared" si="8"/>
        <v>3052.4955999999997</v>
      </c>
      <c r="H337" s="70">
        <v>3052.2449999999999</v>
      </c>
      <c r="I337" s="68">
        <v>3000</v>
      </c>
      <c r="J337" s="41">
        <f t="shared" si="9"/>
        <v>1.7414999999999965</v>
      </c>
    </row>
    <row r="338" spans="1:10" ht="15.75" thickBot="1">
      <c r="A338" s="67">
        <v>4</v>
      </c>
      <c r="B338" s="68" t="s">
        <v>97</v>
      </c>
      <c r="C338" s="68" t="s">
        <v>104</v>
      </c>
      <c r="D338" s="68" t="s">
        <v>106</v>
      </c>
      <c r="E338" s="69">
        <v>39.192</v>
      </c>
      <c r="F338" s="69">
        <v>76.73</v>
      </c>
      <c r="G338" s="8">
        <f t="shared" si="8"/>
        <v>3007.2021600000003</v>
      </c>
      <c r="H338" s="70">
        <v>3007.2809999999999</v>
      </c>
      <c r="I338" s="68">
        <v>3000</v>
      </c>
      <c r="J338" s="41">
        <f t="shared" si="9"/>
        <v>0.24269999999999831</v>
      </c>
    </row>
    <row r="339" spans="1:10" ht="15.75" thickBot="1">
      <c r="A339" s="67">
        <v>5</v>
      </c>
      <c r="B339" s="68" t="s">
        <v>89</v>
      </c>
      <c r="C339" s="68" t="s">
        <v>107</v>
      </c>
      <c r="D339" s="68" t="s">
        <v>108</v>
      </c>
      <c r="E339" s="69">
        <v>181.74799999999999</v>
      </c>
      <c r="F339" s="69">
        <v>16.63</v>
      </c>
      <c r="G339" s="8">
        <f t="shared" si="8"/>
        <v>3022.4692399999994</v>
      </c>
      <c r="H339" s="70">
        <v>3022.4690000000001</v>
      </c>
      <c r="I339" s="68">
        <v>3000</v>
      </c>
      <c r="J339" s="41">
        <f t="shared" si="9"/>
        <v>0.74896666666666833</v>
      </c>
    </row>
    <row r="340" spans="1:10" ht="15.75" thickBot="1">
      <c r="A340" s="67">
        <v>6</v>
      </c>
      <c r="B340" s="68" t="s">
        <v>85</v>
      </c>
      <c r="C340" s="68" t="s">
        <v>107</v>
      </c>
      <c r="D340" s="68" t="s">
        <v>109</v>
      </c>
      <c r="E340" s="69">
        <v>80.641000000000005</v>
      </c>
      <c r="F340" s="69">
        <v>51.5</v>
      </c>
      <c r="G340" s="8">
        <f t="shared" si="8"/>
        <v>4153.0115000000005</v>
      </c>
      <c r="H340" s="70">
        <v>4153.0119999999997</v>
      </c>
      <c r="I340" s="68">
        <v>4000</v>
      </c>
      <c r="J340" s="41">
        <f t="shared" si="9"/>
        <v>3.8252999999999924</v>
      </c>
    </row>
    <row r="341" spans="1:10" ht="15.75" thickBot="1">
      <c r="A341" s="67">
        <v>7</v>
      </c>
      <c r="B341" s="68" t="s">
        <v>91</v>
      </c>
      <c r="C341" s="68" t="s">
        <v>110</v>
      </c>
      <c r="D341" s="68" t="s">
        <v>111</v>
      </c>
      <c r="E341" s="69">
        <v>65.777000000000001</v>
      </c>
      <c r="F341" s="69">
        <v>46.71</v>
      </c>
      <c r="G341" s="8">
        <f t="shared" si="8"/>
        <v>3072.4436700000001</v>
      </c>
      <c r="H341" s="70">
        <v>3072.1149999999998</v>
      </c>
      <c r="I341" s="68">
        <v>3000</v>
      </c>
      <c r="J341" s="41">
        <f t="shared" si="9"/>
        <v>2.4038333333333264</v>
      </c>
    </row>
    <row r="342" spans="1:10" ht="15.75" thickBot="1">
      <c r="A342" s="67">
        <v>8</v>
      </c>
      <c r="B342" s="68" t="s">
        <v>87</v>
      </c>
      <c r="C342" s="68" t="s">
        <v>158</v>
      </c>
      <c r="D342" s="68" t="s">
        <v>160</v>
      </c>
      <c r="E342" s="69">
        <v>35.497</v>
      </c>
      <c r="F342" s="69">
        <v>84</v>
      </c>
      <c r="G342" s="8">
        <f t="shared" si="8"/>
        <v>2981.748</v>
      </c>
      <c r="H342" s="70">
        <v>2981.748</v>
      </c>
      <c r="I342" s="68">
        <v>3000</v>
      </c>
      <c r="J342" s="41">
        <f t="shared" si="9"/>
        <v>-0.60839999999999839</v>
      </c>
    </row>
    <row r="343" spans="1:10" ht="15.75" thickBot="1">
      <c r="A343" s="67">
        <v>9</v>
      </c>
      <c r="B343" s="68" t="s">
        <v>41</v>
      </c>
      <c r="C343" s="68" t="s">
        <v>156</v>
      </c>
      <c r="D343" s="68" t="s">
        <v>161</v>
      </c>
      <c r="E343" s="69">
        <v>45.368000000000002</v>
      </c>
      <c r="F343" s="69">
        <v>185.13</v>
      </c>
      <c r="G343" s="8">
        <f t="shared" si="8"/>
        <v>8398.9778399999996</v>
      </c>
      <c r="H343" s="70">
        <v>8398.8420000000006</v>
      </c>
      <c r="I343" s="68">
        <v>8000</v>
      </c>
      <c r="J343" s="41">
        <f t="shared" si="9"/>
        <v>4.9855250000000062</v>
      </c>
    </row>
    <row r="344" spans="1:10" ht="15.75" thickBot="1">
      <c r="A344" s="67">
        <v>10</v>
      </c>
      <c r="B344" s="68" t="s">
        <v>147</v>
      </c>
      <c r="C344" s="71" t="s">
        <v>157</v>
      </c>
      <c r="D344" s="71" t="s">
        <v>103</v>
      </c>
      <c r="E344" s="69">
        <v>28.047000000000001</v>
      </c>
      <c r="F344" s="69">
        <v>144.57</v>
      </c>
      <c r="G344" s="8">
        <f t="shared" si="8"/>
        <v>4054.75479</v>
      </c>
      <c r="H344" s="70">
        <v>4054.8110000000001</v>
      </c>
      <c r="I344" s="88">
        <v>4000</v>
      </c>
      <c r="J344" s="41">
        <f t="shared" si="9"/>
        <v>1.3702750000000037</v>
      </c>
    </row>
    <row r="345" spans="1:10" ht="15.75" thickBot="1">
      <c r="A345" s="67">
        <v>11</v>
      </c>
      <c r="B345" s="68" t="s">
        <v>19</v>
      </c>
      <c r="C345" s="68" t="s">
        <v>115</v>
      </c>
      <c r="D345" s="68" t="s">
        <v>116</v>
      </c>
      <c r="E345" s="69">
        <v>496.09899999999999</v>
      </c>
      <c r="F345" s="69">
        <v>108.16</v>
      </c>
      <c r="G345" s="8">
        <f t="shared" si="8"/>
        <v>53658.067839999996</v>
      </c>
      <c r="H345" s="70">
        <v>53658.067999999999</v>
      </c>
      <c r="I345" s="8">
        <v>36000</v>
      </c>
      <c r="J345" s="41">
        <f t="shared" si="9"/>
        <v>49.050188888888883</v>
      </c>
    </row>
    <row r="346" spans="1:10" ht="15.75" thickBot="1">
      <c r="A346" s="67">
        <v>12</v>
      </c>
      <c r="B346" s="68" t="s">
        <v>17</v>
      </c>
      <c r="C346" s="68" t="s">
        <v>115</v>
      </c>
      <c r="D346" s="68" t="s">
        <v>117</v>
      </c>
      <c r="E346" s="69">
        <v>616.79</v>
      </c>
      <c r="F346" s="69">
        <v>89.81</v>
      </c>
      <c r="G346" s="8">
        <f t="shared" si="8"/>
        <v>55393.909899999999</v>
      </c>
      <c r="H346" s="70">
        <v>55393.91</v>
      </c>
      <c r="I346" s="8">
        <v>36000</v>
      </c>
      <c r="J346" s="41">
        <f t="shared" si="9"/>
        <v>53.871972222222233</v>
      </c>
    </row>
    <row r="347" spans="1:10" ht="15.75" thickBot="1">
      <c r="A347" s="67">
        <v>13</v>
      </c>
      <c r="B347" s="68" t="s">
        <v>11</v>
      </c>
      <c r="C347" s="68" t="s">
        <v>159</v>
      </c>
      <c r="D347" s="68" t="s">
        <v>119</v>
      </c>
      <c r="E347" s="69">
        <v>436.77100000000002</v>
      </c>
      <c r="F347" s="69">
        <v>112.07</v>
      </c>
      <c r="G347" s="8">
        <f t="shared" si="8"/>
        <v>48948.925969999997</v>
      </c>
      <c r="H347" s="70">
        <v>48950.673000000003</v>
      </c>
      <c r="I347" s="8">
        <v>38000</v>
      </c>
      <c r="J347" s="41">
        <f t="shared" si="9"/>
        <v>28.817560526315795</v>
      </c>
    </row>
    <row r="348" spans="1:10" ht="15.75" thickBot="1">
      <c r="A348" s="67">
        <v>14</v>
      </c>
      <c r="B348" s="68" t="s">
        <v>40</v>
      </c>
      <c r="C348" s="68" t="s">
        <v>120</v>
      </c>
      <c r="D348" s="68" t="s">
        <v>121</v>
      </c>
      <c r="E348" s="69">
        <v>92.552999999999997</v>
      </c>
      <c r="F348" s="69">
        <v>89.92</v>
      </c>
      <c r="G348" s="8">
        <f t="shared" si="8"/>
        <v>8322.3657600000006</v>
      </c>
      <c r="H348" s="70">
        <v>8322.5509999999995</v>
      </c>
      <c r="I348" s="8">
        <v>8000</v>
      </c>
      <c r="J348" s="41">
        <f t="shared" si="9"/>
        <v>4.0318874999999936</v>
      </c>
    </row>
    <row r="349" spans="1:10" ht="15.75" thickBot="1">
      <c r="A349" s="67">
        <v>15</v>
      </c>
      <c r="B349" s="68" t="s">
        <v>37</v>
      </c>
      <c r="C349" s="68" t="s">
        <v>120</v>
      </c>
      <c r="D349" s="68" t="s">
        <v>122</v>
      </c>
      <c r="E349" s="69">
        <v>136.48500000000001</v>
      </c>
      <c r="F349" s="69">
        <v>181.92</v>
      </c>
      <c r="G349" s="8">
        <f t="shared" si="8"/>
        <v>24829.351200000001</v>
      </c>
      <c r="H349" s="70">
        <v>24829.215</v>
      </c>
      <c r="I349" s="8">
        <v>16000</v>
      </c>
      <c r="J349" s="41">
        <f t="shared" si="9"/>
        <v>55.182593749999995</v>
      </c>
    </row>
    <row r="350" spans="1:10" ht="15.75" thickBot="1">
      <c r="A350" s="67">
        <v>16</v>
      </c>
      <c r="B350" s="68" t="s">
        <v>42</v>
      </c>
      <c r="C350" s="68" t="s">
        <v>123</v>
      </c>
      <c r="D350" s="68" t="s">
        <v>124</v>
      </c>
      <c r="E350" s="69">
        <v>59.856999999999999</v>
      </c>
      <c r="F350" s="69">
        <v>271.08</v>
      </c>
      <c r="G350" s="8">
        <f t="shared" si="8"/>
        <v>16226.035559999998</v>
      </c>
      <c r="H350" s="70">
        <v>16226.215</v>
      </c>
      <c r="I350" s="68">
        <v>16000</v>
      </c>
      <c r="J350" s="41">
        <f t="shared" si="9"/>
        <v>1.413843750000001</v>
      </c>
    </row>
    <row r="351" spans="1:10" ht="15.75" thickBot="1">
      <c r="A351" s="67">
        <v>17</v>
      </c>
      <c r="B351" s="68" t="s">
        <v>15</v>
      </c>
      <c r="C351" s="68" t="s">
        <v>165</v>
      </c>
      <c r="D351" s="68" t="s">
        <v>162</v>
      </c>
      <c r="E351" s="69">
        <v>655.43899999999996</v>
      </c>
      <c r="F351" s="69">
        <v>91.43</v>
      </c>
      <c r="G351" s="8">
        <f t="shared" si="8"/>
        <v>59926.787770000003</v>
      </c>
      <c r="H351" s="70">
        <v>59925.476999999999</v>
      </c>
      <c r="I351" s="39">
        <v>42000</v>
      </c>
      <c r="J351" s="41">
        <f t="shared" si="9"/>
        <v>42.67970714285714</v>
      </c>
    </row>
    <row r="352" spans="1:10" ht="15.75" thickBot="1">
      <c r="A352" s="67">
        <v>18</v>
      </c>
      <c r="B352" s="68" t="s">
        <v>13</v>
      </c>
      <c r="C352" s="68" t="s">
        <v>166</v>
      </c>
      <c r="D352" s="68" t="s">
        <v>163</v>
      </c>
      <c r="E352" s="69">
        <v>302.68700000000001</v>
      </c>
      <c r="F352" s="69">
        <v>184.38</v>
      </c>
      <c r="G352" s="8">
        <f t="shared" si="8"/>
        <v>55809.429060000002</v>
      </c>
      <c r="H352" s="70">
        <v>55808.521000000001</v>
      </c>
      <c r="I352" s="8">
        <v>36000</v>
      </c>
      <c r="J352" s="41">
        <f t="shared" si="9"/>
        <v>55.023669444444444</v>
      </c>
    </row>
    <row r="353" spans="1:10" ht="15.75" thickBot="1">
      <c r="A353" s="67">
        <v>19</v>
      </c>
      <c r="B353" s="68" t="s">
        <v>95</v>
      </c>
      <c r="C353" s="68" t="s">
        <v>128</v>
      </c>
      <c r="D353" s="68" t="s">
        <v>129</v>
      </c>
      <c r="E353" s="69">
        <v>68.962000000000003</v>
      </c>
      <c r="F353" s="69">
        <v>43.47</v>
      </c>
      <c r="G353" s="8">
        <f t="shared" si="8"/>
        <v>2997.7781399999999</v>
      </c>
      <c r="H353" s="70">
        <v>2997.7779999999998</v>
      </c>
      <c r="I353" s="69">
        <v>3000</v>
      </c>
      <c r="J353" s="41">
        <f t="shared" si="9"/>
        <v>-7.4066666666673581E-2</v>
      </c>
    </row>
    <row r="354" spans="1:10" ht="15.75" thickBot="1">
      <c r="A354" s="72">
        <v>20</v>
      </c>
      <c r="B354" s="68" t="s">
        <v>93</v>
      </c>
      <c r="C354" s="68" t="s">
        <v>167</v>
      </c>
      <c r="D354" s="68" t="s">
        <v>164</v>
      </c>
      <c r="E354" s="68">
        <v>111.65900000000001</v>
      </c>
      <c r="F354" s="68">
        <v>27.47</v>
      </c>
      <c r="G354" s="8">
        <f t="shared" si="8"/>
        <v>3067.2727300000001</v>
      </c>
      <c r="H354" s="87">
        <v>3066.9380000000001</v>
      </c>
      <c r="I354" s="69">
        <v>3000</v>
      </c>
      <c r="J354" s="41">
        <f t="shared" si="9"/>
        <v>2.2312666666666701</v>
      </c>
    </row>
    <row r="355" spans="1:10" ht="15.75" thickBot="1">
      <c r="A355" s="72"/>
      <c r="B355" s="68"/>
      <c r="C355" s="68"/>
      <c r="D355" s="68"/>
      <c r="E355" s="68"/>
      <c r="F355" s="68"/>
      <c r="G355" s="68"/>
      <c r="H355" s="68"/>
      <c r="I355" s="68"/>
      <c r="J355" s="68"/>
    </row>
    <row r="356" spans="1:10" ht="15.75" thickBot="1">
      <c r="A356" s="72"/>
      <c r="B356" s="68"/>
      <c r="C356" s="68"/>
      <c r="D356" s="68"/>
      <c r="E356" s="68"/>
      <c r="F356" s="68"/>
      <c r="G356" s="68"/>
      <c r="H356" s="68"/>
      <c r="I356" s="68"/>
      <c r="J356" s="68"/>
    </row>
    <row r="357" spans="1:10" ht="15.75" thickBot="1">
      <c r="A357" s="72"/>
      <c r="B357" s="68"/>
      <c r="C357" s="68"/>
      <c r="D357" s="68"/>
      <c r="E357" s="68"/>
      <c r="F357" s="68"/>
      <c r="G357" s="68"/>
      <c r="H357" s="68"/>
      <c r="I357" s="68"/>
      <c r="J357" s="68"/>
    </row>
    <row r="358" spans="1:10" ht="15.75" thickBot="1">
      <c r="A358" s="72"/>
      <c r="B358" s="68"/>
      <c r="C358" s="68"/>
      <c r="D358" s="68"/>
      <c r="E358" s="68"/>
      <c r="F358" s="68"/>
      <c r="G358" s="68"/>
      <c r="H358" s="68"/>
      <c r="I358" s="68"/>
      <c r="J358" s="68"/>
    </row>
    <row r="359" spans="1:10" ht="15.75" thickBot="1">
      <c r="A359" s="73"/>
      <c r="B359" s="74"/>
      <c r="C359" s="74"/>
      <c r="D359" s="74"/>
      <c r="E359" s="74"/>
      <c r="F359" s="74"/>
      <c r="G359" s="74">
        <f>SUM(G335:G358)</f>
        <v>477658.29282000003</v>
      </c>
      <c r="H359" s="24">
        <f>SUM(H335:H358)</f>
        <v>477657.13500000007</v>
      </c>
      <c r="I359" s="24">
        <f>SUM(I335:I358)</f>
        <v>342000</v>
      </c>
      <c r="J359" s="25">
        <f>((H359-I359)/I359)*100</f>
        <v>39.665828947368439</v>
      </c>
    </row>
    <row r="362" spans="1:10" ht="15.75" thickBot="1"/>
    <row r="363" spans="1:10" ht="15.75" thickBot="1">
      <c r="A363" s="78"/>
      <c r="B363" s="79" t="s">
        <v>168</v>
      </c>
      <c r="C363" s="79" t="s">
        <v>55</v>
      </c>
      <c r="D363" s="79" t="s">
        <v>132</v>
      </c>
      <c r="E363" s="79" t="s">
        <v>56</v>
      </c>
      <c r="F363" s="79" t="s">
        <v>57</v>
      </c>
      <c r="G363" s="79" t="s">
        <v>58</v>
      </c>
      <c r="H363" s="79" t="s">
        <v>59</v>
      </c>
      <c r="I363" s="79" t="s">
        <v>60</v>
      </c>
      <c r="J363" s="79" t="s">
        <v>133</v>
      </c>
    </row>
    <row r="364" spans="1:10" ht="15.75" thickBot="1">
      <c r="A364" s="67">
        <v>1</v>
      </c>
      <c r="B364" s="68" t="s">
        <v>21</v>
      </c>
      <c r="C364" s="68" t="s">
        <v>101</v>
      </c>
      <c r="D364" s="68" t="s">
        <v>102</v>
      </c>
      <c r="E364" s="69">
        <v>818.71400000000006</v>
      </c>
      <c r="F364" s="69">
        <v>57.54</v>
      </c>
      <c r="G364" s="8">
        <f t="shared" ref="G364:G383" si="10">E364*F364</f>
        <v>47108.80356</v>
      </c>
      <c r="H364" s="70">
        <v>47108.803999999996</v>
      </c>
      <c r="I364" s="8">
        <v>37000</v>
      </c>
      <c r="J364" s="41">
        <f t="shared" ref="J364:J383" si="11">((H364-I364)/I364)*100</f>
        <v>27.321091891891879</v>
      </c>
    </row>
    <row r="365" spans="1:10" ht="15.75" thickBot="1">
      <c r="A365" s="67">
        <v>2</v>
      </c>
      <c r="B365" s="68" t="s">
        <v>23</v>
      </c>
      <c r="C365" s="68" t="s">
        <v>101</v>
      </c>
      <c r="D365" s="68" t="s">
        <v>103</v>
      </c>
      <c r="E365" s="69">
        <v>629.94399999999996</v>
      </c>
      <c r="F365" s="69">
        <v>104.95</v>
      </c>
      <c r="G365" s="8">
        <f t="shared" si="10"/>
        <v>66112.622799999997</v>
      </c>
      <c r="H365" s="70">
        <v>66112.623000000007</v>
      </c>
      <c r="I365" s="8">
        <v>42000</v>
      </c>
      <c r="J365" s="41">
        <f t="shared" si="11"/>
        <v>57.411007142857159</v>
      </c>
    </row>
    <row r="366" spans="1:10" ht="15.75" thickBot="1">
      <c r="A366" s="67">
        <v>3</v>
      </c>
      <c r="B366" s="68" t="s">
        <v>99</v>
      </c>
      <c r="C366" s="68" t="s">
        <v>104</v>
      </c>
      <c r="D366" s="68" t="s">
        <v>105</v>
      </c>
      <c r="E366" s="69">
        <v>84.406000000000006</v>
      </c>
      <c r="F366" s="69">
        <v>45.59</v>
      </c>
      <c r="G366" s="8">
        <f t="shared" si="10"/>
        <v>3848.0695400000004</v>
      </c>
      <c r="H366" s="70">
        <v>3847.6480000000001</v>
      </c>
      <c r="I366" s="68">
        <v>4000</v>
      </c>
      <c r="J366" s="41">
        <f t="shared" si="11"/>
        <v>-3.8087999999999962</v>
      </c>
    </row>
    <row r="367" spans="1:10" ht="15.75" thickBot="1">
      <c r="A367" s="67">
        <v>4</v>
      </c>
      <c r="B367" s="68" t="s">
        <v>97</v>
      </c>
      <c r="C367" s="68" t="s">
        <v>104</v>
      </c>
      <c r="D367" s="68" t="s">
        <v>106</v>
      </c>
      <c r="E367" s="69">
        <v>52.710999999999999</v>
      </c>
      <c r="F367" s="69">
        <v>72.91</v>
      </c>
      <c r="G367" s="8">
        <f t="shared" si="10"/>
        <v>3843.1590099999999</v>
      </c>
      <c r="H367" s="70">
        <v>3842.895</v>
      </c>
      <c r="I367" s="68">
        <v>4000</v>
      </c>
      <c r="J367" s="41">
        <f t="shared" si="11"/>
        <v>-3.9276250000000004</v>
      </c>
    </row>
    <row r="368" spans="1:10" ht="15.75" thickBot="1">
      <c r="A368" s="67">
        <v>5</v>
      </c>
      <c r="B368" s="68" t="s">
        <v>89</v>
      </c>
      <c r="C368" s="68" t="s">
        <v>107</v>
      </c>
      <c r="D368" s="68" t="s">
        <v>108</v>
      </c>
      <c r="E368" s="69">
        <v>245.84700000000001</v>
      </c>
      <c r="F368" s="69">
        <v>15.37</v>
      </c>
      <c r="G368" s="8">
        <f t="shared" si="10"/>
        <v>3778.6683899999998</v>
      </c>
      <c r="H368" s="70">
        <v>3778.6680000000001</v>
      </c>
      <c r="I368" s="68">
        <v>4000</v>
      </c>
      <c r="J368" s="41">
        <f t="shared" si="11"/>
        <v>-5.533299999999997</v>
      </c>
    </row>
    <row r="369" spans="1:10" ht="15.75" thickBot="1">
      <c r="A369" s="67">
        <v>6</v>
      </c>
      <c r="B369" s="68" t="s">
        <v>85</v>
      </c>
      <c r="C369" s="68" t="s">
        <v>107</v>
      </c>
      <c r="D369" s="68" t="s">
        <v>109</v>
      </c>
      <c r="E369" s="69">
        <v>101.22499999999999</v>
      </c>
      <c r="F369" s="69">
        <v>48.03</v>
      </c>
      <c r="G369" s="8">
        <f t="shared" si="10"/>
        <v>4861.8367499999995</v>
      </c>
      <c r="H369" s="70">
        <v>4861.8370000000004</v>
      </c>
      <c r="I369" s="68">
        <v>5000</v>
      </c>
      <c r="J369" s="41">
        <f t="shared" si="11"/>
        <v>-2.7632599999999909</v>
      </c>
    </row>
    <row r="370" spans="1:10" ht="15.75" thickBot="1">
      <c r="A370" s="67">
        <v>7</v>
      </c>
      <c r="B370" s="68" t="s">
        <v>91</v>
      </c>
      <c r="C370" s="68" t="s">
        <v>110</v>
      </c>
      <c r="D370" s="68" t="s">
        <v>111</v>
      </c>
      <c r="E370" s="69">
        <v>88.231999999999999</v>
      </c>
      <c r="F370" s="69">
        <v>44.15</v>
      </c>
      <c r="G370" s="8">
        <f t="shared" si="10"/>
        <v>3895.4427999999998</v>
      </c>
      <c r="H370" s="70">
        <v>3895.355</v>
      </c>
      <c r="I370" s="68">
        <v>4000</v>
      </c>
      <c r="J370" s="41">
        <f t="shared" si="11"/>
        <v>-2.6161249999999998</v>
      </c>
    </row>
    <row r="371" spans="1:10" ht="15.75" thickBot="1">
      <c r="A371" s="67">
        <v>8</v>
      </c>
      <c r="B371" s="68" t="s">
        <v>87</v>
      </c>
      <c r="C371" s="68" t="s">
        <v>158</v>
      </c>
      <c r="D371" s="68" t="s">
        <v>160</v>
      </c>
      <c r="E371" s="69">
        <v>47.847000000000001</v>
      </c>
      <c r="F371" s="69">
        <v>80.3</v>
      </c>
      <c r="G371" s="8">
        <f t="shared" si="10"/>
        <v>3842.1140999999998</v>
      </c>
      <c r="H371" s="70">
        <v>3842.114</v>
      </c>
      <c r="I371" s="68">
        <v>4000</v>
      </c>
      <c r="J371" s="41">
        <f t="shared" si="11"/>
        <v>-3.9471499999999993</v>
      </c>
    </row>
    <row r="372" spans="1:10" ht="15.75" thickBot="1">
      <c r="A372" s="67">
        <v>9</v>
      </c>
      <c r="B372" s="68" t="s">
        <v>41</v>
      </c>
      <c r="C372" s="68" t="s">
        <v>156</v>
      </c>
      <c r="D372" s="68" t="s">
        <v>161</v>
      </c>
      <c r="E372" s="69">
        <v>51.052999999999997</v>
      </c>
      <c r="F372" s="69">
        <v>174.08</v>
      </c>
      <c r="G372" s="8">
        <f t="shared" si="10"/>
        <v>8887.3062399999999</v>
      </c>
      <c r="H372" s="70">
        <v>8887.2039999999997</v>
      </c>
      <c r="I372" s="68">
        <v>9000</v>
      </c>
      <c r="J372" s="41">
        <f t="shared" si="11"/>
        <v>-1.253288888888892</v>
      </c>
    </row>
    <row r="373" spans="1:10" ht="15.75" thickBot="1">
      <c r="A373" s="67">
        <v>10</v>
      </c>
      <c r="B373" s="68" t="s">
        <v>147</v>
      </c>
      <c r="C373" s="71" t="s">
        <v>157</v>
      </c>
      <c r="D373" s="71" t="s">
        <v>103</v>
      </c>
      <c r="E373" s="69">
        <v>42.533999999999999</v>
      </c>
      <c r="F373" s="69">
        <v>136.51</v>
      </c>
      <c r="G373" s="8">
        <f t="shared" si="10"/>
        <v>5806.3163399999994</v>
      </c>
      <c r="H373" s="70">
        <v>5806.4859999999999</v>
      </c>
      <c r="I373" s="88">
        <v>6000</v>
      </c>
      <c r="J373" s="41">
        <f t="shared" si="11"/>
        <v>-3.2252333333333354</v>
      </c>
    </row>
    <row r="374" spans="1:10" ht="15.75" thickBot="1">
      <c r="A374" s="67">
        <v>11</v>
      </c>
      <c r="B374" s="68" t="s">
        <v>19</v>
      </c>
      <c r="C374" s="68" t="s">
        <v>115</v>
      </c>
      <c r="D374" s="68" t="s">
        <v>116</v>
      </c>
      <c r="E374" s="69">
        <v>505.74099999999999</v>
      </c>
      <c r="F374" s="69">
        <v>102.91</v>
      </c>
      <c r="G374" s="8">
        <f t="shared" si="10"/>
        <v>52045.80631</v>
      </c>
      <c r="H374" s="70">
        <v>52045.805999999997</v>
      </c>
      <c r="I374" s="8">
        <v>37000</v>
      </c>
      <c r="J374" s="41">
        <f t="shared" si="11"/>
        <v>40.664340540540536</v>
      </c>
    </row>
    <row r="375" spans="1:10" ht="15.75" thickBot="1">
      <c r="A375" s="67">
        <v>12</v>
      </c>
      <c r="B375" s="68" t="s">
        <v>17</v>
      </c>
      <c r="C375" s="68" t="s">
        <v>115</v>
      </c>
      <c r="D375" s="68" t="s">
        <v>117</v>
      </c>
      <c r="E375" s="69">
        <v>628.54899999999998</v>
      </c>
      <c r="F375" s="69">
        <v>84.8</v>
      </c>
      <c r="G375" s="8">
        <f t="shared" si="10"/>
        <v>53300.955199999997</v>
      </c>
      <c r="H375" s="70">
        <v>53300.955000000002</v>
      </c>
      <c r="I375" s="8">
        <v>37000</v>
      </c>
      <c r="J375" s="41">
        <f t="shared" si="11"/>
        <v>44.056635135135139</v>
      </c>
    </row>
    <row r="376" spans="1:10" ht="15.75" thickBot="1">
      <c r="A376" s="67">
        <v>13</v>
      </c>
      <c r="B376" s="68" t="s">
        <v>11</v>
      </c>
      <c r="C376" s="68" t="s">
        <v>159</v>
      </c>
      <c r="D376" s="68" t="s">
        <v>119</v>
      </c>
      <c r="E376" s="69">
        <v>446.16399999999999</v>
      </c>
      <c r="F376" s="69">
        <v>105.71</v>
      </c>
      <c r="G376" s="8">
        <f t="shared" si="10"/>
        <v>47163.996439999995</v>
      </c>
      <c r="H376" s="70">
        <v>47163.995999999999</v>
      </c>
      <c r="I376" s="8">
        <v>39000</v>
      </c>
      <c r="J376" s="41">
        <f t="shared" si="11"/>
        <v>20.933323076923074</v>
      </c>
    </row>
    <row r="377" spans="1:10" ht="15.75" thickBot="1">
      <c r="A377" s="67">
        <v>14</v>
      </c>
      <c r="B377" s="68" t="s">
        <v>40</v>
      </c>
      <c r="C377" s="68" t="s">
        <v>120</v>
      </c>
      <c r="D377" s="68" t="s">
        <v>121</v>
      </c>
      <c r="E377" s="69">
        <v>104.19199999999999</v>
      </c>
      <c r="F377" s="69">
        <v>85.17</v>
      </c>
      <c r="G377" s="8">
        <f t="shared" si="10"/>
        <v>8874.0326399999994</v>
      </c>
      <c r="H377" s="70">
        <v>8873.5120000000006</v>
      </c>
      <c r="I377" s="8">
        <v>9000</v>
      </c>
      <c r="J377" s="41">
        <f t="shared" si="11"/>
        <v>-1.4054222222222152</v>
      </c>
    </row>
    <row r="378" spans="1:10" ht="15.75" thickBot="1">
      <c r="A378" s="67">
        <v>15</v>
      </c>
      <c r="B378" s="68" t="s">
        <v>37</v>
      </c>
      <c r="C378" s="68" t="s">
        <v>120</v>
      </c>
      <c r="D378" s="68" t="s">
        <v>122</v>
      </c>
      <c r="E378" s="69">
        <v>142.30500000000001</v>
      </c>
      <c r="F378" s="69">
        <v>170.17</v>
      </c>
      <c r="G378" s="8">
        <f t="shared" si="10"/>
        <v>24216.041849999998</v>
      </c>
      <c r="H378" s="70">
        <v>24215.757000000001</v>
      </c>
      <c r="I378" s="8">
        <v>17000</v>
      </c>
      <c r="J378" s="41">
        <f t="shared" si="11"/>
        <v>42.445629411764713</v>
      </c>
    </row>
    <row r="379" spans="1:10" ht="15.75" thickBot="1">
      <c r="A379" s="67">
        <v>16</v>
      </c>
      <c r="B379" s="68" t="s">
        <v>42</v>
      </c>
      <c r="C379" s="68" t="s">
        <v>123</v>
      </c>
      <c r="D379" s="68" t="s">
        <v>124</v>
      </c>
      <c r="E379" s="69">
        <v>67.524000000000001</v>
      </c>
      <c r="F379" s="69">
        <v>257.72000000000003</v>
      </c>
      <c r="G379" s="8">
        <f t="shared" si="10"/>
        <v>17402.285280000004</v>
      </c>
      <c r="H379" s="70">
        <v>17402.488000000001</v>
      </c>
      <c r="I379" s="68">
        <v>18000</v>
      </c>
      <c r="J379" s="41">
        <f t="shared" si="11"/>
        <v>-3.3195111111111042</v>
      </c>
    </row>
    <row r="380" spans="1:10" ht="15.75" thickBot="1">
      <c r="A380" s="67">
        <v>17</v>
      </c>
      <c r="B380" s="68" t="s">
        <v>15</v>
      </c>
      <c r="C380" s="68" t="s">
        <v>165</v>
      </c>
      <c r="D380" s="68" t="s">
        <v>162</v>
      </c>
      <c r="E380" s="69">
        <v>666.83500000000004</v>
      </c>
      <c r="F380" s="69">
        <v>87.2</v>
      </c>
      <c r="G380" s="8">
        <f t="shared" si="10"/>
        <v>58148.012000000002</v>
      </c>
      <c r="H380" s="70">
        <v>58149.345999999998</v>
      </c>
      <c r="I380" s="39">
        <v>43000</v>
      </c>
      <c r="J380" s="41">
        <f t="shared" si="11"/>
        <v>35.231037209302315</v>
      </c>
    </row>
    <row r="381" spans="1:10" ht="15.75" thickBot="1">
      <c r="A381" s="67">
        <v>18</v>
      </c>
      <c r="B381" s="68" t="s">
        <v>13</v>
      </c>
      <c r="C381" s="68" t="s">
        <v>166</v>
      </c>
      <c r="D381" s="68" t="s">
        <v>163</v>
      </c>
      <c r="E381" s="69">
        <v>308.40899999999999</v>
      </c>
      <c r="F381" s="69">
        <v>173.26</v>
      </c>
      <c r="G381" s="8">
        <f t="shared" si="10"/>
        <v>53434.943339999998</v>
      </c>
      <c r="H381" s="70">
        <v>53436.177000000003</v>
      </c>
      <c r="I381" s="8">
        <v>37000</v>
      </c>
      <c r="J381" s="41">
        <f t="shared" si="11"/>
        <v>44.422100000000007</v>
      </c>
    </row>
    <row r="382" spans="1:10" ht="15.75" thickBot="1">
      <c r="A382" s="67">
        <v>19</v>
      </c>
      <c r="B382" s="68" t="s">
        <v>95</v>
      </c>
      <c r="C382" s="68" t="s">
        <v>128</v>
      </c>
      <c r="D382" s="68" t="s">
        <v>129</v>
      </c>
      <c r="E382" s="69">
        <v>93.311999999999998</v>
      </c>
      <c r="F382" s="69">
        <v>40.83</v>
      </c>
      <c r="G382" s="8">
        <f t="shared" si="10"/>
        <v>3809.9289599999997</v>
      </c>
      <c r="H382" s="70">
        <v>3809.8359999999998</v>
      </c>
      <c r="I382" s="69">
        <v>4000</v>
      </c>
      <c r="J382" s="41">
        <f t="shared" si="11"/>
        <v>-4.7541000000000055</v>
      </c>
    </row>
    <row r="383" spans="1:10" ht="15.75" thickBot="1">
      <c r="A383" s="72">
        <v>20</v>
      </c>
      <c r="B383" s="68" t="s">
        <v>93</v>
      </c>
      <c r="C383" s="68" t="s">
        <v>167</v>
      </c>
      <c r="D383" s="68" t="s">
        <v>164</v>
      </c>
      <c r="E383" s="68">
        <v>149.37700000000001</v>
      </c>
      <c r="F383" s="68">
        <v>26.31</v>
      </c>
      <c r="G383" s="8">
        <f t="shared" si="10"/>
        <v>3930.10887</v>
      </c>
      <c r="H383" s="87">
        <v>3929.81</v>
      </c>
      <c r="I383" s="69">
        <v>4000</v>
      </c>
      <c r="J383" s="41">
        <f t="shared" si="11"/>
        <v>-1.7547500000000014</v>
      </c>
    </row>
    <row r="384" spans="1:10" ht="15.75" thickBot="1">
      <c r="A384" s="72"/>
      <c r="B384" s="68"/>
      <c r="C384" s="68"/>
      <c r="D384" s="68"/>
      <c r="E384" s="68"/>
      <c r="F384" s="68"/>
      <c r="G384" s="68"/>
      <c r="H384" s="68"/>
      <c r="I384" s="68"/>
      <c r="J384" s="68"/>
    </row>
    <row r="385" spans="1:10" ht="15.75" thickBot="1">
      <c r="A385" s="72"/>
      <c r="B385" s="68"/>
      <c r="C385" s="68"/>
      <c r="D385" s="68"/>
      <c r="E385" s="68"/>
      <c r="F385" s="68"/>
      <c r="G385" s="68"/>
      <c r="H385" s="68"/>
      <c r="I385" s="68"/>
      <c r="J385" s="68"/>
    </row>
    <row r="386" spans="1:10" ht="15.75" thickBot="1">
      <c r="A386" s="72"/>
      <c r="B386" s="68"/>
      <c r="C386" s="68"/>
      <c r="D386" s="68"/>
      <c r="E386" s="68"/>
      <c r="F386" s="68"/>
      <c r="G386" s="68"/>
      <c r="H386" s="68"/>
      <c r="I386" s="68"/>
      <c r="J386" s="68"/>
    </row>
    <row r="387" spans="1:10" ht="15.75" thickBot="1">
      <c r="A387" s="72"/>
      <c r="B387" s="68"/>
      <c r="C387" s="68"/>
      <c r="D387" s="68"/>
      <c r="E387" s="68"/>
      <c r="F387" s="68"/>
      <c r="G387" s="68"/>
      <c r="H387" s="68"/>
      <c r="I387" s="68"/>
      <c r="J387" s="68"/>
    </row>
    <row r="388" spans="1:10" ht="15.75" thickBot="1">
      <c r="A388" s="73"/>
      <c r="B388" s="74"/>
      <c r="C388" s="74"/>
      <c r="D388" s="74"/>
      <c r="E388" s="74"/>
      <c r="F388" s="74"/>
      <c r="G388" s="74">
        <f>SUM(G364:G387)</f>
        <v>474310.45041999995</v>
      </c>
      <c r="H388" s="24">
        <f>SUM(H364:H387)</f>
        <v>474311.31700000004</v>
      </c>
      <c r="I388" s="24">
        <f>SUM(I364:I387)</f>
        <v>364000</v>
      </c>
      <c r="J388" s="25">
        <f>((H388-I388)/I388)*100</f>
        <v>30.305306868131883</v>
      </c>
    </row>
    <row r="390" spans="1:10" ht="15.75" thickBot="1"/>
    <row r="391" spans="1:10" ht="15.75" thickBot="1">
      <c r="A391" s="78"/>
      <c r="B391" s="79" t="s">
        <v>169</v>
      </c>
      <c r="C391" s="79" t="s">
        <v>55</v>
      </c>
      <c r="D391" s="79" t="s">
        <v>132</v>
      </c>
      <c r="E391" s="79" t="s">
        <v>56</v>
      </c>
      <c r="F391" s="79" t="s">
        <v>57</v>
      </c>
      <c r="G391" s="79" t="s">
        <v>58</v>
      </c>
      <c r="H391" s="79" t="s">
        <v>59</v>
      </c>
      <c r="I391" s="79" t="s">
        <v>60</v>
      </c>
      <c r="J391" s="79" t="s">
        <v>133</v>
      </c>
    </row>
    <row r="392" spans="1:10" ht="15.75" thickBot="1">
      <c r="A392" s="67">
        <v>1</v>
      </c>
      <c r="B392" s="68" t="s">
        <v>21</v>
      </c>
      <c r="C392" s="68" t="s">
        <v>101</v>
      </c>
      <c r="D392" s="68" t="s">
        <v>102</v>
      </c>
      <c r="E392" s="69">
        <v>836.21699999999998</v>
      </c>
      <c r="F392" s="69">
        <v>56.3</v>
      </c>
      <c r="G392" s="8">
        <f t="shared" ref="G392:G411" si="12">E392*F392</f>
        <v>47079.017099999997</v>
      </c>
      <c r="H392" s="70">
        <v>47079.017</v>
      </c>
      <c r="I392" s="8">
        <v>38000</v>
      </c>
      <c r="J392" s="41">
        <f t="shared" ref="J392:J411" si="13">((H392-I392)/I392)*100</f>
        <v>23.892150000000001</v>
      </c>
    </row>
    <row r="393" spans="1:10" ht="15.75" thickBot="1">
      <c r="A393" s="67">
        <v>2</v>
      </c>
      <c r="B393" s="68" t="s">
        <v>23</v>
      </c>
      <c r="C393" s="68" t="s">
        <v>101</v>
      </c>
      <c r="D393" s="68" t="s">
        <v>103</v>
      </c>
      <c r="E393" s="69">
        <v>640.14400000000001</v>
      </c>
      <c r="F393" s="69">
        <v>94.99</v>
      </c>
      <c r="G393" s="8">
        <f t="shared" si="12"/>
        <v>60807.278559999999</v>
      </c>
      <c r="H393" s="70">
        <v>60807.279000000002</v>
      </c>
      <c r="I393" s="8">
        <v>43000</v>
      </c>
      <c r="J393" s="41">
        <f t="shared" si="13"/>
        <v>41.412276744186052</v>
      </c>
    </row>
    <row r="394" spans="1:10" ht="15.75" thickBot="1">
      <c r="A394" s="67">
        <v>3</v>
      </c>
      <c r="B394" s="68" t="s">
        <v>99</v>
      </c>
      <c r="C394" s="68" t="s">
        <v>104</v>
      </c>
      <c r="D394" s="68" t="s">
        <v>105</v>
      </c>
      <c r="E394" s="69">
        <v>107.419</v>
      </c>
      <c r="F394" s="69">
        <v>40.81</v>
      </c>
      <c r="G394" s="8">
        <f t="shared" si="12"/>
        <v>4383.7693900000004</v>
      </c>
      <c r="H394" s="70">
        <v>4383.6620000000003</v>
      </c>
      <c r="I394" s="68">
        <v>5000</v>
      </c>
      <c r="J394" s="41">
        <f t="shared" si="13"/>
        <v>-12.326759999999995</v>
      </c>
    </row>
    <row r="395" spans="1:10" ht="15.75" thickBot="1">
      <c r="A395" s="67">
        <v>4</v>
      </c>
      <c r="B395" s="68" t="s">
        <v>97</v>
      </c>
      <c r="C395" s="68" t="s">
        <v>104</v>
      </c>
      <c r="D395" s="68" t="s">
        <v>106</v>
      </c>
      <c r="E395" s="69">
        <v>66.626000000000005</v>
      </c>
      <c r="F395" s="69">
        <v>69.34</v>
      </c>
      <c r="G395" s="8">
        <f t="shared" si="12"/>
        <v>4619.8468400000002</v>
      </c>
      <c r="H395" s="70">
        <v>4619.7139999999999</v>
      </c>
      <c r="I395" s="68">
        <v>5000</v>
      </c>
      <c r="J395" s="41">
        <f t="shared" si="13"/>
        <v>-7.6057200000000007</v>
      </c>
    </row>
    <row r="396" spans="1:10" ht="15.75" thickBot="1">
      <c r="A396" s="67">
        <v>5</v>
      </c>
      <c r="B396" s="68" t="s">
        <v>89</v>
      </c>
      <c r="C396" s="68" t="s">
        <v>107</v>
      </c>
      <c r="D396" s="68" t="s">
        <v>108</v>
      </c>
      <c r="E396" s="69">
        <v>313.22899999999998</v>
      </c>
      <c r="F396" s="69">
        <v>14.23</v>
      </c>
      <c r="G396" s="8">
        <f t="shared" si="12"/>
        <v>4457.2486699999999</v>
      </c>
      <c r="H396" s="70">
        <v>4457.2489999999998</v>
      </c>
      <c r="I396" s="68">
        <v>5000</v>
      </c>
      <c r="J396" s="41">
        <f t="shared" si="13"/>
        <v>-10.855020000000003</v>
      </c>
    </row>
    <row r="397" spans="1:10" ht="15.75" thickBot="1">
      <c r="A397" s="67">
        <v>6</v>
      </c>
      <c r="B397" s="68" t="s">
        <v>85</v>
      </c>
      <c r="C397" s="68" t="s">
        <v>107</v>
      </c>
      <c r="D397" s="68" t="s">
        <v>109</v>
      </c>
      <c r="E397" s="69">
        <v>123.496</v>
      </c>
      <c r="F397" s="69">
        <v>41.53</v>
      </c>
      <c r="G397" s="8">
        <f t="shared" si="12"/>
        <v>5128.7888800000001</v>
      </c>
      <c r="H397" s="70">
        <v>5128.7889999999998</v>
      </c>
      <c r="I397" s="68">
        <v>6000</v>
      </c>
      <c r="J397" s="41">
        <f t="shared" si="13"/>
        <v>-14.520183333333335</v>
      </c>
    </row>
    <row r="398" spans="1:10" ht="15.75" thickBot="1">
      <c r="A398" s="67">
        <v>7</v>
      </c>
      <c r="B398" s="68" t="s">
        <v>91</v>
      </c>
      <c r="C398" s="68" t="s">
        <v>110</v>
      </c>
      <c r="D398" s="68" t="s">
        <v>111</v>
      </c>
      <c r="E398" s="69">
        <v>112.089</v>
      </c>
      <c r="F398" s="69">
        <v>39.36</v>
      </c>
      <c r="G398" s="8">
        <f t="shared" si="12"/>
        <v>4411.8230400000002</v>
      </c>
      <c r="H398" s="70">
        <v>4411.4870000000001</v>
      </c>
      <c r="I398" s="68">
        <v>5000</v>
      </c>
      <c r="J398" s="41">
        <f t="shared" si="13"/>
        <v>-11.770259999999999</v>
      </c>
    </row>
    <row r="399" spans="1:10" ht="15.75" thickBot="1">
      <c r="A399" s="67">
        <v>8</v>
      </c>
      <c r="B399" s="68" t="s">
        <v>87</v>
      </c>
      <c r="C399" s="68" t="s">
        <v>158</v>
      </c>
      <c r="D399" s="68" t="s">
        <v>160</v>
      </c>
      <c r="E399" s="69">
        <v>60.414000000000001</v>
      </c>
      <c r="F399" s="69">
        <v>77.33</v>
      </c>
      <c r="G399" s="8">
        <f t="shared" si="12"/>
        <v>4671.8146200000001</v>
      </c>
      <c r="H399" s="70">
        <v>4671.8149999999996</v>
      </c>
      <c r="I399" s="68">
        <v>5000</v>
      </c>
      <c r="J399" s="41">
        <f t="shared" si="13"/>
        <v>-6.5637000000000087</v>
      </c>
    </row>
    <row r="400" spans="1:10" ht="15.75" thickBot="1">
      <c r="A400" s="67">
        <v>9</v>
      </c>
      <c r="B400" s="68" t="s">
        <v>41</v>
      </c>
      <c r="C400" s="68" t="s">
        <v>156</v>
      </c>
      <c r="D400" s="68" t="s">
        <v>161</v>
      </c>
      <c r="E400" s="69">
        <v>57.264000000000003</v>
      </c>
      <c r="F400" s="69">
        <v>154.55000000000001</v>
      </c>
      <c r="G400" s="8">
        <f t="shared" si="12"/>
        <v>8850.1512000000002</v>
      </c>
      <c r="H400" s="70">
        <v>8850.2080000000005</v>
      </c>
      <c r="I400" s="68">
        <v>10000</v>
      </c>
      <c r="J400" s="41">
        <f t="shared" si="13"/>
        <v>-11.497919999999995</v>
      </c>
    </row>
    <row r="401" spans="1:10" ht="15.75" thickBot="1">
      <c r="A401" s="67">
        <v>10</v>
      </c>
      <c r="B401" s="68" t="s">
        <v>147</v>
      </c>
      <c r="C401" s="71" t="s">
        <v>157</v>
      </c>
      <c r="D401" s="71" t="s">
        <v>103</v>
      </c>
      <c r="E401" s="69">
        <v>58.412999999999997</v>
      </c>
      <c r="F401" s="69">
        <v>122.11</v>
      </c>
      <c r="G401" s="8">
        <f t="shared" si="12"/>
        <v>7132.8114299999997</v>
      </c>
      <c r="H401" s="70">
        <v>7132.87</v>
      </c>
      <c r="I401" s="88">
        <v>8000</v>
      </c>
      <c r="J401" s="41">
        <f t="shared" si="13"/>
        <v>-10.839125000000001</v>
      </c>
    </row>
    <row r="402" spans="1:10" ht="15.75" thickBot="1">
      <c r="A402" s="67">
        <v>11</v>
      </c>
      <c r="B402" s="68" t="s">
        <v>19</v>
      </c>
      <c r="C402" s="68" t="s">
        <v>115</v>
      </c>
      <c r="D402" s="68" t="s">
        <v>116</v>
      </c>
      <c r="E402" s="69">
        <v>515.55499999999995</v>
      </c>
      <c r="F402" s="69">
        <v>100.57</v>
      </c>
      <c r="G402" s="8">
        <f t="shared" si="12"/>
        <v>51849.366349999989</v>
      </c>
      <c r="H402" s="70">
        <v>51849.366000000002</v>
      </c>
      <c r="I402" s="8">
        <v>38000</v>
      </c>
      <c r="J402" s="41">
        <f t="shared" si="13"/>
        <v>36.445700000000002</v>
      </c>
    </row>
    <row r="403" spans="1:10" ht="15.75" thickBot="1">
      <c r="A403" s="67">
        <v>12</v>
      </c>
      <c r="B403" s="68" t="s">
        <v>17</v>
      </c>
      <c r="C403" s="68" t="s">
        <v>115</v>
      </c>
      <c r="D403" s="68" t="s">
        <v>117</v>
      </c>
      <c r="E403" s="69">
        <v>640.98599999999999</v>
      </c>
      <c r="F403" s="69">
        <v>77.89</v>
      </c>
      <c r="G403" s="8">
        <f t="shared" si="12"/>
        <v>49926.399539999999</v>
      </c>
      <c r="H403" s="70">
        <v>49926.400000000001</v>
      </c>
      <c r="I403" s="8">
        <v>38000</v>
      </c>
      <c r="J403" s="41">
        <f t="shared" si="13"/>
        <v>31.385263157894737</v>
      </c>
    </row>
    <row r="404" spans="1:10" ht="15.75" thickBot="1">
      <c r="A404" s="67">
        <v>13</v>
      </c>
      <c r="B404" s="68" t="s">
        <v>11</v>
      </c>
      <c r="C404" s="68" t="s">
        <v>159</v>
      </c>
      <c r="D404" s="68" t="s">
        <v>119</v>
      </c>
      <c r="E404" s="69">
        <v>455.64600000000002</v>
      </c>
      <c r="F404" s="69">
        <v>102.57</v>
      </c>
      <c r="G404" s="8">
        <f t="shared" si="12"/>
        <v>46735.610219999995</v>
      </c>
      <c r="H404" s="70">
        <v>46733.332000000002</v>
      </c>
      <c r="I404" s="8">
        <v>40000</v>
      </c>
      <c r="J404" s="41">
        <f t="shared" si="13"/>
        <v>16.833330000000004</v>
      </c>
    </row>
    <row r="405" spans="1:10" ht="15.75" thickBot="1">
      <c r="A405" s="67">
        <v>14</v>
      </c>
      <c r="B405" s="68" t="s">
        <v>40</v>
      </c>
      <c r="C405" s="68" t="s">
        <v>120</v>
      </c>
      <c r="D405" s="68" t="s">
        <v>121</v>
      </c>
      <c r="E405" s="69">
        <v>116.249</v>
      </c>
      <c r="F405" s="69">
        <v>81.28</v>
      </c>
      <c r="G405" s="8">
        <f t="shared" si="12"/>
        <v>9448.7187199999989</v>
      </c>
      <c r="H405" s="70">
        <v>9448.7189999999991</v>
      </c>
      <c r="I405" s="8">
        <v>10000</v>
      </c>
      <c r="J405" s="41">
        <f t="shared" si="13"/>
        <v>-5.512810000000008</v>
      </c>
    </row>
    <row r="406" spans="1:10" ht="15.75" thickBot="1">
      <c r="A406" s="67">
        <v>15</v>
      </c>
      <c r="B406" s="68" t="s">
        <v>37</v>
      </c>
      <c r="C406" s="68" t="s">
        <v>120</v>
      </c>
      <c r="D406" s="68" t="s">
        <v>122</v>
      </c>
      <c r="E406" s="69">
        <v>148.75200000000001</v>
      </c>
      <c r="F406" s="69">
        <v>150.11000000000001</v>
      </c>
      <c r="G406" s="8">
        <f t="shared" si="12"/>
        <v>22329.162720000004</v>
      </c>
      <c r="H406" s="70">
        <v>22329.46</v>
      </c>
      <c r="I406" s="8">
        <v>18000</v>
      </c>
      <c r="J406" s="41">
        <f t="shared" si="13"/>
        <v>24.052555555555553</v>
      </c>
    </row>
    <row r="407" spans="1:10" ht="15.75" thickBot="1">
      <c r="A407" s="67">
        <v>16</v>
      </c>
      <c r="B407" s="68" t="s">
        <v>42</v>
      </c>
      <c r="C407" s="68" t="s">
        <v>123</v>
      </c>
      <c r="D407" s="68" t="s">
        <v>124</v>
      </c>
      <c r="E407" s="69">
        <v>75.965000000000003</v>
      </c>
      <c r="F407" s="69">
        <v>229.29</v>
      </c>
      <c r="G407" s="8">
        <f t="shared" si="12"/>
        <v>17418.01485</v>
      </c>
      <c r="H407" s="70">
        <v>17418.242999999999</v>
      </c>
      <c r="I407" s="68">
        <v>20000</v>
      </c>
      <c r="J407" s="41">
        <f t="shared" si="13"/>
        <v>-12.908785000000005</v>
      </c>
    </row>
    <row r="408" spans="1:10" ht="15.75" thickBot="1">
      <c r="A408" s="67">
        <v>17</v>
      </c>
      <c r="B408" s="68" t="s">
        <v>15</v>
      </c>
      <c r="C408" s="68" t="s">
        <v>165</v>
      </c>
      <c r="D408" s="68" t="s">
        <v>162</v>
      </c>
      <c r="E408" s="69">
        <v>678.46199999999999</v>
      </c>
      <c r="F408" s="69">
        <v>84.51</v>
      </c>
      <c r="G408" s="8">
        <f t="shared" si="12"/>
        <v>57336.823620000003</v>
      </c>
      <c r="H408" s="70">
        <v>57334.11</v>
      </c>
      <c r="I408" s="39">
        <v>44000</v>
      </c>
      <c r="J408" s="41">
        <f t="shared" si="13"/>
        <v>30.304795454545459</v>
      </c>
    </row>
    <row r="409" spans="1:10" ht="15.75" thickBot="1">
      <c r="A409" s="67">
        <v>18</v>
      </c>
      <c r="B409" s="68" t="s">
        <v>13</v>
      </c>
      <c r="C409" s="68" t="s">
        <v>166</v>
      </c>
      <c r="D409" s="68" t="s">
        <v>163</v>
      </c>
      <c r="E409" s="69">
        <v>314.62200000000001</v>
      </c>
      <c r="F409" s="69">
        <v>156.16999999999999</v>
      </c>
      <c r="G409" s="8">
        <f t="shared" si="12"/>
        <v>49134.517739999996</v>
      </c>
      <c r="H409" s="70">
        <v>49133.574000000001</v>
      </c>
      <c r="I409" s="8">
        <v>38000</v>
      </c>
      <c r="J409" s="41">
        <f t="shared" si="13"/>
        <v>29.298878947368422</v>
      </c>
    </row>
    <row r="410" spans="1:10" ht="15.75" thickBot="1">
      <c r="A410" s="67">
        <v>19</v>
      </c>
      <c r="B410" s="68" t="s">
        <v>95</v>
      </c>
      <c r="C410" s="68" t="s">
        <v>128</v>
      </c>
      <c r="D410" s="68" t="s">
        <v>129</v>
      </c>
      <c r="E410" s="69">
        <v>119.56399999999999</v>
      </c>
      <c r="F410" s="69">
        <v>35.83</v>
      </c>
      <c r="G410" s="8">
        <f t="shared" si="12"/>
        <v>4283.9781199999998</v>
      </c>
      <c r="H410" s="70">
        <v>4284.4560000000001</v>
      </c>
      <c r="I410" s="69">
        <v>5000</v>
      </c>
      <c r="J410" s="41">
        <f t="shared" si="13"/>
        <v>-14.310879999999997</v>
      </c>
    </row>
    <row r="411" spans="1:10" ht="15.75" thickBot="1">
      <c r="A411" s="72">
        <v>20</v>
      </c>
      <c r="B411" s="68" t="s">
        <v>93</v>
      </c>
      <c r="C411" s="68" t="s">
        <v>167</v>
      </c>
      <c r="D411" s="68" t="s">
        <v>164</v>
      </c>
      <c r="E411" s="68">
        <v>189.29499999999999</v>
      </c>
      <c r="F411" s="68">
        <v>23.48</v>
      </c>
      <c r="G411" s="8">
        <f t="shared" si="12"/>
        <v>4444.6466</v>
      </c>
      <c r="H411" s="87">
        <v>4443.8890000000001</v>
      </c>
      <c r="I411" s="69">
        <v>5000</v>
      </c>
      <c r="J411" s="41">
        <f t="shared" si="13"/>
        <v>-11.122219999999999</v>
      </c>
    </row>
    <row r="412" spans="1:10" ht="15.75" thickBot="1">
      <c r="A412" s="72"/>
      <c r="B412" s="68"/>
      <c r="C412" s="68"/>
      <c r="D412" s="68"/>
      <c r="E412" s="68"/>
      <c r="F412" s="68"/>
      <c r="G412" s="8"/>
      <c r="H412" s="68"/>
      <c r="I412" s="68"/>
      <c r="J412" s="68"/>
    </row>
    <row r="413" spans="1:10" ht="15.75" thickBot="1">
      <c r="A413" s="72"/>
      <c r="B413" s="68"/>
      <c r="C413" s="68"/>
      <c r="D413" s="68"/>
      <c r="E413" s="68"/>
      <c r="F413" s="68"/>
      <c r="G413" s="8"/>
      <c r="H413" s="68"/>
      <c r="I413" s="68"/>
      <c r="J413" s="68"/>
    </row>
    <row r="414" spans="1:10" ht="15.75" thickBot="1">
      <c r="A414" s="72"/>
      <c r="B414" s="68"/>
      <c r="C414" s="68"/>
      <c r="D414" s="68"/>
      <c r="E414" s="68"/>
      <c r="F414" s="68"/>
      <c r="G414" s="8"/>
      <c r="H414" s="68"/>
      <c r="I414" s="68"/>
      <c r="J414" s="68"/>
    </row>
    <row r="415" spans="1:10" ht="15.75" thickBot="1">
      <c r="A415" s="72"/>
      <c r="B415" s="68"/>
      <c r="C415" s="68"/>
      <c r="D415" s="68"/>
      <c r="E415" s="68"/>
      <c r="F415" s="68"/>
      <c r="G415" s="8"/>
      <c r="H415" s="68"/>
      <c r="I415" s="68"/>
      <c r="J415" s="68"/>
    </row>
    <row r="416" spans="1:10" ht="15.75" thickBot="1">
      <c r="A416" s="73"/>
      <c r="B416" s="74"/>
      <c r="C416" s="74"/>
      <c r="D416" s="74"/>
      <c r="E416" s="74"/>
      <c r="F416" s="74"/>
      <c r="G416" s="74">
        <f>SUM(G392:G415)</f>
        <v>464449.78820999991</v>
      </c>
      <c r="H416" s="24">
        <f>SUM(H392:H415)</f>
        <v>464443.63900000008</v>
      </c>
      <c r="I416" s="24">
        <f>SUM(I392:I415)</f>
        <v>386000</v>
      </c>
      <c r="J416" s="25">
        <f>((H416-I416)/I416)*100</f>
        <v>20.322186269430073</v>
      </c>
    </row>
    <row r="419" spans="1:10" ht="15.75" thickBot="1"/>
    <row r="420" spans="1:10" ht="15.75" thickBot="1">
      <c r="A420" s="78"/>
      <c r="B420" s="79" t="s">
        <v>170</v>
      </c>
      <c r="C420" s="79" t="s">
        <v>55</v>
      </c>
      <c r="D420" s="79" t="s">
        <v>132</v>
      </c>
      <c r="E420" s="79" t="s">
        <v>56</v>
      </c>
      <c r="F420" s="79" t="s">
        <v>57</v>
      </c>
      <c r="G420" s="79" t="s">
        <v>58</v>
      </c>
      <c r="H420" s="79" t="s">
        <v>59</v>
      </c>
      <c r="I420" s="79" t="s">
        <v>60</v>
      </c>
      <c r="J420" s="79" t="s">
        <v>133</v>
      </c>
    </row>
    <row r="421" spans="1:10" ht="15.75" thickBot="1">
      <c r="A421" s="67">
        <v>1</v>
      </c>
      <c r="B421" s="68" t="s">
        <v>21</v>
      </c>
      <c r="C421" s="68" t="s">
        <v>101</v>
      </c>
      <c r="D421" s="68" t="s">
        <v>102</v>
      </c>
      <c r="E421" s="69">
        <v>854.59199999999998</v>
      </c>
      <c r="F421" s="69">
        <v>54.61</v>
      </c>
      <c r="G421" s="8">
        <f t="shared" ref="G421:G440" si="14">E421*F421</f>
        <v>46669.269119999997</v>
      </c>
      <c r="H421" s="70">
        <v>46669.269</v>
      </c>
      <c r="I421" s="8">
        <v>39000</v>
      </c>
      <c r="J421" s="41">
        <f t="shared" ref="J421:J440" si="15">((H421-I421)/I421)*100</f>
        <v>19.664792307692309</v>
      </c>
    </row>
    <row r="422" spans="1:10" ht="15.75" thickBot="1">
      <c r="A422" s="67">
        <v>2</v>
      </c>
      <c r="B422" s="68" t="s">
        <v>23</v>
      </c>
      <c r="C422" s="68" t="s">
        <v>101</v>
      </c>
      <c r="D422" s="68" t="s">
        <v>103</v>
      </c>
      <c r="E422" s="69">
        <v>651.06799999999998</v>
      </c>
      <c r="F422" s="69">
        <v>91.13</v>
      </c>
      <c r="G422" s="8">
        <f t="shared" si="14"/>
        <v>59331.826839999994</v>
      </c>
      <c r="H422" s="70">
        <v>59331.826999999997</v>
      </c>
      <c r="I422" s="8">
        <v>44000</v>
      </c>
      <c r="J422" s="41">
        <f t="shared" si="15"/>
        <v>34.845061363636361</v>
      </c>
    </row>
    <row r="423" spans="1:10" ht="15.75" thickBot="1">
      <c r="A423" s="67">
        <v>3</v>
      </c>
      <c r="B423" s="68" t="s">
        <v>99</v>
      </c>
      <c r="C423" s="68" t="s">
        <v>104</v>
      </c>
      <c r="D423" s="68" t="s">
        <v>105</v>
      </c>
      <c r="E423" s="69">
        <v>132.60300000000001</v>
      </c>
      <c r="F423" s="69">
        <v>38.9</v>
      </c>
      <c r="G423" s="8">
        <f t="shared" si="14"/>
        <v>5158.2566999999999</v>
      </c>
      <c r="H423" s="70">
        <v>5158.1239999999998</v>
      </c>
      <c r="I423" s="68">
        <v>6000</v>
      </c>
      <c r="J423" s="41">
        <f t="shared" si="15"/>
        <v>-14.031266666666669</v>
      </c>
    </row>
    <row r="424" spans="1:10" ht="15.75" thickBot="1">
      <c r="A424" s="67">
        <v>4</v>
      </c>
      <c r="B424" s="68" t="s">
        <v>97</v>
      </c>
      <c r="C424" s="68" t="s">
        <v>104</v>
      </c>
      <c r="D424" s="68" t="s">
        <v>106</v>
      </c>
      <c r="E424" s="69">
        <v>81.37</v>
      </c>
      <c r="F424" s="69">
        <v>67.41</v>
      </c>
      <c r="G424" s="8">
        <f t="shared" si="14"/>
        <v>5485.1517000000003</v>
      </c>
      <c r="H424" s="70">
        <v>5485.2330000000002</v>
      </c>
      <c r="I424" s="68">
        <v>6000</v>
      </c>
      <c r="J424" s="41">
        <f t="shared" si="15"/>
        <v>-8.579449999999996</v>
      </c>
    </row>
    <row r="425" spans="1:10" ht="15.75" thickBot="1">
      <c r="A425" s="67">
        <v>5</v>
      </c>
      <c r="B425" s="68" t="s">
        <v>89</v>
      </c>
      <c r="C425" s="68" t="s">
        <v>107</v>
      </c>
      <c r="D425" s="68" t="s">
        <v>108</v>
      </c>
      <c r="E425" s="69">
        <v>384.29899999999998</v>
      </c>
      <c r="F425" s="69">
        <v>13.97</v>
      </c>
      <c r="G425" s="8">
        <f t="shared" si="14"/>
        <v>5368.6570300000003</v>
      </c>
      <c r="H425" s="70">
        <v>5368.6570000000002</v>
      </c>
      <c r="I425" s="68">
        <v>6000</v>
      </c>
      <c r="J425" s="41">
        <f t="shared" si="15"/>
        <v>-10.52238333333333</v>
      </c>
    </row>
    <row r="426" spans="1:10" ht="15.75" thickBot="1">
      <c r="A426" s="67">
        <v>6</v>
      </c>
      <c r="B426" s="68" t="s">
        <v>85</v>
      </c>
      <c r="C426" s="68" t="s">
        <v>107</v>
      </c>
      <c r="D426" s="68" t="s">
        <v>109</v>
      </c>
      <c r="E426" s="69">
        <v>148.358</v>
      </c>
      <c r="F426" s="69">
        <v>39.18</v>
      </c>
      <c r="G426" s="8">
        <f t="shared" si="14"/>
        <v>5812.66644</v>
      </c>
      <c r="H426" s="70">
        <v>5812.6660000000002</v>
      </c>
      <c r="I426" s="68">
        <v>7000</v>
      </c>
      <c r="J426" s="41">
        <f t="shared" si="15"/>
        <v>-16.961914285714283</v>
      </c>
    </row>
    <row r="427" spans="1:10" ht="15.75" thickBot="1">
      <c r="A427" s="67">
        <v>7</v>
      </c>
      <c r="B427" s="68" t="s">
        <v>91</v>
      </c>
      <c r="C427" s="68" t="s">
        <v>110</v>
      </c>
      <c r="D427" s="68" t="s">
        <v>111</v>
      </c>
      <c r="E427" s="69">
        <v>138.65100000000001</v>
      </c>
      <c r="F427" s="69">
        <v>36.619999999999997</v>
      </c>
      <c r="G427" s="8">
        <f t="shared" si="14"/>
        <v>5077.3996200000001</v>
      </c>
      <c r="H427" s="70">
        <v>5077.6769999999997</v>
      </c>
      <c r="I427" s="68">
        <v>6000</v>
      </c>
      <c r="J427" s="41">
        <f t="shared" si="15"/>
        <v>-15.372050000000007</v>
      </c>
    </row>
    <row r="428" spans="1:10" ht="15.75" thickBot="1">
      <c r="A428" s="67">
        <v>8</v>
      </c>
      <c r="B428" s="68" t="s">
        <v>87</v>
      </c>
      <c r="C428" s="68" t="s">
        <v>158</v>
      </c>
      <c r="D428" s="68" t="s">
        <v>160</v>
      </c>
      <c r="E428" s="69">
        <v>73.676000000000002</v>
      </c>
      <c r="F428" s="69">
        <v>75.02</v>
      </c>
      <c r="G428" s="8">
        <f t="shared" si="14"/>
        <v>5527.1735200000003</v>
      </c>
      <c r="H428" s="70">
        <v>5527.174</v>
      </c>
      <c r="I428" s="68">
        <v>6000</v>
      </c>
      <c r="J428" s="41">
        <f t="shared" si="15"/>
        <v>-7.8804333333333334</v>
      </c>
    </row>
    <row r="429" spans="1:10" ht="15.75" thickBot="1">
      <c r="A429" s="67">
        <v>9</v>
      </c>
      <c r="B429" s="68" t="s">
        <v>41</v>
      </c>
      <c r="C429" s="68" t="s">
        <v>156</v>
      </c>
      <c r="D429" s="68" t="s">
        <v>161</v>
      </c>
      <c r="E429" s="69">
        <v>64.103999999999999</v>
      </c>
      <c r="F429" s="69">
        <v>145.16999999999999</v>
      </c>
      <c r="G429" s="8">
        <f t="shared" si="14"/>
        <v>9305.97768</v>
      </c>
      <c r="H429" s="70">
        <v>9306.1059999999998</v>
      </c>
      <c r="I429" s="68">
        <v>11000</v>
      </c>
      <c r="J429" s="41">
        <f t="shared" si="15"/>
        <v>-15.399036363636364</v>
      </c>
    </row>
    <row r="430" spans="1:10" ht="15.75" thickBot="1">
      <c r="A430" s="67">
        <v>10</v>
      </c>
      <c r="B430" s="68" t="s">
        <v>147</v>
      </c>
      <c r="C430" s="71" t="s">
        <v>157</v>
      </c>
      <c r="D430" s="71" t="s">
        <v>103</v>
      </c>
      <c r="E430" s="69">
        <v>75.572000000000003</v>
      </c>
      <c r="F430" s="69">
        <v>114.84</v>
      </c>
      <c r="G430" s="8">
        <f t="shared" si="14"/>
        <v>8678.6884800000007</v>
      </c>
      <c r="H430" s="70">
        <v>8678.6129999999994</v>
      </c>
      <c r="I430" s="88">
        <v>10000</v>
      </c>
      <c r="J430" s="41">
        <f t="shared" si="15"/>
        <v>-13.213870000000005</v>
      </c>
    </row>
    <row r="431" spans="1:10" ht="15.75" thickBot="1">
      <c r="A431" s="67">
        <v>11</v>
      </c>
      <c r="B431" s="68" t="s">
        <v>19</v>
      </c>
      <c r="C431" s="68" t="s">
        <v>115</v>
      </c>
      <c r="D431" s="68" t="s">
        <v>116</v>
      </c>
      <c r="E431" s="69">
        <v>525.798</v>
      </c>
      <c r="F431" s="69">
        <v>97.93</v>
      </c>
      <c r="G431" s="8">
        <f t="shared" si="14"/>
        <v>51491.398140000005</v>
      </c>
      <c r="H431" s="70">
        <v>51491.398000000001</v>
      </c>
      <c r="I431" s="8">
        <v>39000</v>
      </c>
      <c r="J431" s="41">
        <f t="shared" si="15"/>
        <v>32.029225641025647</v>
      </c>
    </row>
    <row r="432" spans="1:10" ht="15.75" thickBot="1">
      <c r="A432" s="67">
        <v>12</v>
      </c>
      <c r="B432" s="68" t="s">
        <v>17</v>
      </c>
      <c r="C432" s="68" t="s">
        <v>115</v>
      </c>
      <c r="D432" s="68" t="s">
        <v>117</v>
      </c>
      <c r="E432" s="69">
        <v>654.42999999999995</v>
      </c>
      <c r="F432" s="69">
        <v>73.89</v>
      </c>
      <c r="G432" s="8">
        <f t="shared" si="14"/>
        <v>48355.832699999999</v>
      </c>
      <c r="H432" s="70">
        <v>48355.832999999999</v>
      </c>
      <c r="I432" s="8">
        <v>39000</v>
      </c>
      <c r="J432" s="41">
        <f t="shared" si="15"/>
        <v>23.989315384615381</v>
      </c>
    </row>
    <row r="433" spans="1:10" ht="15.75" thickBot="1">
      <c r="A433" s="67">
        <v>13</v>
      </c>
      <c r="B433" s="68" t="s">
        <v>11</v>
      </c>
      <c r="C433" s="68" t="s">
        <v>159</v>
      </c>
      <c r="D433" s="68" t="s">
        <v>119</v>
      </c>
      <c r="E433" s="69">
        <v>465.57</v>
      </c>
      <c r="F433" s="69">
        <v>99.64</v>
      </c>
      <c r="G433" s="8">
        <f t="shared" si="14"/>
        <v>46389.394800000002</v>
      </c>
      <c r="H433" s="70">
        <v>46387.998</v>
      </c>
      <c r="I433" s="8">
        <v>41000</v>
      </c>
      <c r="J433" s="41">
        <f t="shared" si="15"/>
        <v>13.141458536585365</v>
      </c>
    </row>
    <row r="434" spans="1:10" ht="15.75" thickBot="1">
      <c r="A434" s="67">
        <v>14</v>
      </c>
      <c r="B434" s="68" t="s">
        <v>40</v>
      </c>
      <c r="C434" s="68" t="s">
        <v>120</v>
      </c>
      <c r="D434" s="68" t="s">
        <v>121</v>
      </c>
      <c r="E434" s="69">
        <v>128.80199999999999</v>
      </c>
      <c r="F434" s="69">
        <v>79.459999999999994</v>
      </c>
      <c r="G434" s="8">
        <f t="shared" si="14"/>
        <v>10234.606919999998</v>
      </c>
      <c r="H434" s="70">
        <v>10234.477999999999</v>
      </c>
      <c r="I434" s="8">
        <v>11000</v>
      </c>
      <c r="J434" s="41">
        <f t="shared" si="15"/>
        <v>-6.9592909090909165</v>
      </c>
    </row>
    <row r="435" spans="1:10" ht="15.75" thickBot="1">
      <c r="A435" s="67">
        <v>15</v>
      </c>
      <c r="B435" s="68" t="s">
        <v>37</v>
      </c>
      <c r="C435" s="68" t="s">
        <v>120</v>
      </c>
      <c r="D435" s="68" t="s">
        <v>122</v>
      </c>
      <c r="E435" s="69">
        <v>155.69999999999999</v>
      </c>
      <c r="F435" s="69">
        <v>143.25</v>
      </c>
      <c r="G435" s="8">
        <f t="shared" si="14"/>
        <v>22304.024999999998</v>
      </c>
      <c r="H435" s="70">
        <v>22303.246999999999</v>
      </c>
      <c r="I435" s="8">
        <v>19000</v>
      </c>
      <c r="J435" s="41">
        <f t="shared" si="15"/>
        <v>17.385510526315787</v>
      </c>
    </row>
    <row r="436" spans="1:10" ht="15.75" thickBot="1">
      <c r="A436" s="67">
        <v>16</v>
      </c>
      <c r="B436" s="68" t="s">
        <v>42</v>
      </c>
      <c r="C436" s="68" t="s">
        <v>123</v>
      </c>
      <c r="D436" s="68" t="s">
        <v>124</v>
      </c>
      <c r="E436" s="69">
        <v>84.974999999999994</v>
      </c>
      <c r="F436" s="69">
        <v>221.28</v>
      </c>
      <c r="G436" s="8">
        <f t="shared" si="14"/>
        <v>18803.268</v>
      </c>
      <c r="H436" s="70">
        <v>18803.352999999999</v>
      </c>
      <c r="I436" s="68">
        <v>22000</v>
      </c>
      <c r="J436" s="41">
        <f t="shared" si="15"/>
        <v>-14.530213636363639</v>
      </c>
    </row>
    <row r="437" spans="1:10" ht="15.75" thickBot="1">
      <c r="A437" s="67">
        <v>17</v>
      </c>
      <c r="B437" s="68" t="s">
        <v>15</v>
      </c>
      <c r="C437" s="68" t="s">
        <v>165</v>
      </c>
      <c r="D437" s="68" t="s">
        <v>162</v>
      </c>
      <c r="E437" s="69">
        <v>690.60400000000004</v>
      </c>
      <c r="F437" s="69">
        <v>82.68</v>
      </c>
      <c r="G437" s="8">
        <f t="shared" si="14"/>
        <v>57099.13872000001</v>
      </c>
      <c r="H437" s="70">
        <v>57095.686000000002</v>
      </c>
      <c r="I437" s="39">
        <v>45000</v>
      </c>
      <c r="J437" s="41">
        <f t="shared" si="15"/>
        <v>26.879302222222222</v>
      </c>
    </row>
    <row r="438" spans="1:10" ht="15.75" thickBot="1">
      <c r="A438" s="67">
        <v>18</v>
      </c>
      <c r="B438" s="68" t="s">
        <v>13</v>
      </c>
      <c r="C438" s="68" t="s">
        <v>166</v>
      </c>
      <c r="D438" s="68" t="s">
        <v>163</v>
      </c>
      <c r="E438" s="69">
        <v>321.25900000000001</v>
      </c>
      <c r="F438" s="69">
        <v>149.80000000000001</v>
      </c>
      <c r="G438" s="8">
        <f t="shared" si="14"/>
        <v>48124.598200000008</v>
      </c>
      <c r="H438" s="70">
        <v>48123.313000000002</v>
      </c>
      <c r="I438" s="8">
        <v>39000</v>
      </c>
      <c r="J438" s="41">
        <f t="shared" si="15"/>
        <v>23.39311025641026</v>
      </c>
    </row>
    <row r="439" spans="1:10" ht="15.75" thickBot="1">
      <c r="A439" s="67">
        <v>19</v>
      </c>
      <c r="B439" s="68" t="s">
        <v>95</v>
      </c>
      <c r="C439" s="68" t="s">
        <v>128</v>
      </c>
      <c r="D439" s="68" t="s">
        <v>129</v>
      </c>
      <c r="E439" s="69">
        <v>147.887</v>
      </c>
      <c r="F439" s="69">
        <v>34.74</v>
      </c>
      <c r="G439" s="8">
        <f t="shared" si="14"/>
        <v>5137.5943800000005</v>
      </c>
      <c r="H439" s="70">
        <v>5136.8549999999996</v>
      </c>
      <c r="I439" s="69">
        <v>6000</v>
      </c>
      <c r="J439" s="41">
        <f t="shared" si="15"/>
        <v>-14.385750000000009</v>
      </c>
    </row>
    <row r="440" spans="1:10" ht="15.75" thickBot="1">
      <c r="A440" s="72">
        <v>20</v>
      </c>
      <c r="B440" s="68" t="s">
        <v>93</v>
      </c>
      <c r="C440" s="68" t="s">
        <v>167</v>
      </c>
      <c r="D440" s="68" t="s">
        <v>164</v>
      </c>
      <c r="E440" s="68">
        <v>233.69900000000001</v>
      </c>
      <c r="F440" s="68">
        <v>21.89</v>
      </c>
      <c r="G440" s="8">
        <f t="shared" si="14"/>
        <v>5115.6711100000002</v>
      </c>
      <c r="H440" s="87">
        <v>5114.5029999999997</v>
      </c>
      <c r="I440" s="69">
        <v>6000</v>
      </c>
      <c r="J440" s="41">
        <f t="shared" si="15"/>
        <v>-14.758283333333338</v>
      </c>
    </row>
    <row r="441" spans="1:10" ht="15.75" thickBot="1">
      <c r="A441" s="72"/>
      <c r="B441" s="68"/>
      <c r="C441" s="68"/>
      <c r="D441" s="68"/>
      <c r="E441" s="68"/>
      <c r="F441" s="68"/>
      <c r="G441" s="8"/>
      <c r="H441" s="68"/>
      <c r="I441" s="68"/>
      <c r="J441" s="68"/>
    </row>
    <row r="442" spans="1:10" ht="15.75" thickBot="1">
      <c r="A442" s="72"/>
      <c r="B442" s="68"/>
      <c r="C442" s="68"/>
      <c r="D442" s="68"/>
      <c r="E442" s="68"/>
      <c r="F442" s="68"/>
      <c r="G442" s="8"/>
      <c r="H442" s="68"/>
      <c r="I442" s="68"/>
      <c r="J442" s="68"/>
    </row>
    <row r="443" spans="1:10" ht="15.75" thickBot="1">
      <c r="A443" s="72"/>
      <c r="B443" s="68"/>
      <c r="C443" s="68"/>
      <c r="D443" s="68"/>
      <c r="E443" s="68"/>
      <c r="F443" s="68"/>
      <c r="G443" s="8"/>
      <c r="H443" s="68"/>
      <c r="I443" s="68"/>
      <c r="J443" s="68"/>
    </row>
    <row r="444" spans="1:10" ht="15.75" thickBot="1">
      <c r="A444" s="72"/>
      <c r="B444" s="68"/>
      <c r="C444" s="68"/>
      <c r="D444" s="68"/>
      <c r="E444" s="68"/>
      <c r="F444" s="68"/>
      <c r="G444" s="8"/>
      <c r="H444" s="68"/>
      <c r="I444" s="68"/>
      <c r="J444" s="68"/>
    </row>
    <row r="445" spans="1:10" ht="15.75" thickBot="1">
      <c r="A445" s="73"/>
      <c r="B445" s="74"/>
      <c r="C445" s="74"/>
      <c r="D445" s="74"/>
      <c r="E445" s="74"/>
      <c r="F445" s="74"/>
      <c r="G445" s="74">
        <f>SUM(G421:G444)</f>
        <v>469470.59510000004</v>
      </c>
      <c r="H445" s="24">
        <f>SUM(H421:H444)</f>
        <v>469462.01</v>
      </c>
      <c r="I445" s="24">
        <f>SUM(I421:I444)</f>
        <v>408000</v>
      </c>
      <c r="J445" s="25">
        <f>((H445-I445)/I445)*100</f>
        <v>15.064218137254903</v>
      </c>
    </row>
    <row r="447" spans="1:10" ht="15.75" thickBot="1"/>
    <row r="448" spans="1:10" ht="15.75" thickBot="1">
      <c r="A448" s="78"/>
      <c r="B448" s="79" t="s">
        <v>171</v>
      </c>
      <c r="C448" s="79" t="s">
        <v>55</v>
      </c>
      <c r="D448" s="79" t="s">
        <v>132</v>
      </c>
      <c r="E448" s="79" t="s">
        <v>56</v>
      </c>
      <c r="F448" s="79" t="s">
        <v>57</v>
      </c>
      <c r="G448" s="79" t="s">
        <v>58</v>
      </c>
      <c r="H448" s="79" t="s">
        <v>59</v>
      </c>
      <c r="I448" s="79" t="s">
        <v>60</v>
      </c>
      <c r="J448" s="79" t="s">
        <v>133</v>
      </c>
    </row>
    <row r="449" spans="1:10" ht="15.75" thickBot="1">
      <c r="A449" s="67">
        <v>1</v>
      </c>
      <c r="B449" s="68" t="s">
        <v>21</v>
      </c>
      <c r="C449" s="68" t="s">
        <v>101</v>
      </c>
      <c r="D449" s="68" t="s">
        <v>102</v>
      </c>
      <c r="E449" s="69">
        <v>872.43899999999996</v>
      </c>
      <c r="F449" s="69">
        <v>57.33</v>
      </c>
      <c r="G449" s="8">
        <f t="shared" ref="G449:G468" si="16">E449*F449</f>
        <v>50016.92787</v>
      </c>
      <c r="H449" s="70">
        <v>50016.928</v>
      </c>
      <c r="I449" s="8">
        <v>40000</v>
      </c>
      <c r="J449" s="41">
        <f t="shared" ref="J449:J468" si="17">((H449-I449)/I449)*100</f>
        <v>25.04232</v>
      </c>
    </row>
    <row r="450" spans="1:10" ht="15.75" thickBot="1">
      <c r="A450" s="67">
        <v>2</v>
      </c>
      <c r="B450" s="68" t="s">
        <v>23</v>
      </c>
      <c r="C450" s="68" t="s">
        <v>101</v>
      </c>
      <c r="D450" s="68" t="s">
        <v>103</v>
      </c>
      <c r="E450" s="69">
        <v>661.74800000000005</v>
      </c>
      <c r="F450" s="69">
        <v>96.91</v>
      </c>
      <c r="G450" s="8">
        <f t="shared" si="16"/>
        <v>64129.998680000004</v>
      </c>
      <c r="H450" s="70">
        <v>64129.999000000003</v>
      </c>
      <c r="I450" s="8">
        <v>45000</v>
      </c>
      <c r="J450" s="41">
        <f t="shared" si="17"/>
        <v>42.511108888888899</v>
      </c>
    </row>
    <row r="451" spans="1:10" ht="15.75" thickBot="1">
      <c r="A451" s="67">
        <v>3</v>
      </c>
      <c r="B451" s="68" t="s">
        <v>99</v>
      </c>
      <c r="C451" s="68" t="s">
        <v>104</v>
      </c>
      <c r="D451" s="68" t="s">
        <v>105</v>
      </c>
      <c r="E451" s="69">
        <v>158.47800000000001</v>
      </c>
      <c r="F451" s="69">
        <v>41.69</v>
      </c>
      <c r="G451" s="8">
        <f t="shared" si="16"/>
        <v>6606.9478200000003</v>
      </c>
      <c r="H451" s="70">
        <v>6606.9480000000003</v>
      </c>
      <c r="I451" s="68">
        <v>7000</v>
      </c>
      <c r="J451" s="41">
        <f t="shared" si="17"/>
        <v>-5.6150285714285664</v>
      </c>
    </row>
    <row r="452" spans="1:10" ht="15.75" thickBot="1">
      <c r="A452" s="67">
        <v>4</v>
      </c>
      <c r="B452" s="68" t="s">
        <v>97</v>
      </c>
      <c r="C452" s="68" t="s">
        <v>104</v>
      </c>
      <c r="D452" s="68" t="s">
        <v>106</v>
      </c>
      <c r="E452" s="69">
        <v>96.316999999999993</v>
      </c>
      <c r="F452" s="69">
        <v>71.05</v>
      </c>
      <c r="G452" s="8">
        <f t="shared" si="16"/>
        <v>6843.3228499999996</v>
      </c>
      <c r="H452" s="70">
        <v>6842.8410000000003</v>
      </c>
      <c r="I452" s="68">
        <v>7000</v>
      </c>
      <c r="J452" s="41">
        <f t="shared" si="17"/>
        <v>-2.2451285714285665</v>
      </c>
    </row>
    <row r="453" spans="1:10" ht="15.75" thickBot="1">
      <c r="A453" s="67">
        <v>5</v>
      </c>
      <c r="B453" s="68" t="s">
        <v>89</v>
      </c>
      <c r="C453" s="68" t="s">
        <v>107</v>
      </c>
      <c r="D453" s="68" t="s">
        <v>108</v>
      </c>
      <c r="E453" s="69">
        <v>456.75900000000001</v>
      </c>
      <c r="F453" s="69">
        <v>14.68</v>
      </c>
      <c r="G453" s="8">
        <f t="shared" si="16"/>
        <v>6705.2221200000004</v>
      </c>
      <c r="H453" s="70">
        <v>6705.2219999999998</v>
      </c>
      <c r="I453" s="68">
        <v>7000</v>
      </c>
      <c r="J453" s="41">
        <f t="shared" si="17"/>
        <v>-4.2111142857142898</v>
      </c>
    </row>
    <row r="454" spans="1:10" ht="15.75" thickBot="1">
      <c r="A454" s="67">
        <v>6</v>
      </c>
      <c r="B454" s="68" t="s">
        <v>85</v>
      </c>
      <c r="C454" s="68" t="s">
        <v>107</v>
      </c>
      <c r="D454" s="68" t="s">
        <v>109</v>
      </c>
      <c r="E454" s="69">
        <v>174.083</v>
      </c>
      <c r="F454" s="69">
        <v>42.89</v>
      </c>
      <c r="G454" s="8">
        <f t="shared" si="16"/>
        <v>7466.4198699999997</v>
      </c>
      <c r="H454" s="70">
        <v>7466.42</v>
      </c>
      <c r="I454" s="68">
        <v>8000</v>
      </c>
      <c r="J454" s="41">
        <f t="shared" si="17"/>
        <v>-6.6697499999999996</v>
      </c>
    </row>
    <row r="455" spans="1:10" ht="15.75" thickBot="1">
      <c r="A455" s="67">
        <v>7</v>
      </c>
      <c r="B455" s="68" t="s">
        <v>91</v>
      </c>
      <c r="C455" s="68" t="s">
        <v>110</v>
      </c>
      <c r="D455" s="68" t="s">
        <v>111</v>
      </c>
      <c r="E455" s="69">
        <v>165.83199999999999</v>
      </c>
      <c r="F455" s="69">
        <v>39.46</v>
      </c>
      <c r="G455" s="8">
        <f t="shared" si="16"/>
        <v>6543.7307199999996</v>
      </c>
      <c r="H455" s="70">
        <v>6544.3940000000002</v>
      </c>
      <c r="I455" s="68">
        <v>7000</v>
      </c>
      <c r="J455" s="41">
        <f t="shared" si="17"/>
        <v>-6.5086571428571398</v>
      </c>
    </row>
    <row r="456" spans="1:10" ht="15.75" thickBot="1">
      <c r="A456" s="67">
        <v>8</v>
      </c>
      <c r="B456" s="68" t="s">
        <v>87</v>
      </c>
      <c r="C456" s="68" t="s">
        <v>158</v>
      </c>
      <c r="D456" s="68" t="s">
        <v>160</v>
      </c>
      <c r="E456" s="69">
        <v>87.06</v>
      </c>
      <c r="F456" s="69">
        <v>78.650000000000006</v>
      </c>
      <c r="G456" s="8">
        <f t="shared" si="16"/>
        <v>6847.2690000000002</v>
      </c>
      <c r="H456" s="70">
        <v>6847.2690000000002</v>
      </c>
      <c r="I456" s="68">
        <v>7000</v>
      </c>
      <c r="J456" s="41">
        <f t="shared" si="17"/>
        <v>-2.1818714285714256</v>
      </c>
    </row>
    <row r="457" spans="1:10" ht="15.75" thickBot="1">
      <c r="A457" s="67">
        <v>9</v>
      </c>
      <c r="B457" s="68" t="s">
        <v>41</v>
      </c>
      <c r="C457" s="68" t="s">
        <v>156</v>
      </c>
      <c r="D457" s="68" t="s">
        <v>161</v>
      </c>
      <c r="E457" s="69">
        <v>70.73</v>
      </c>
      <c r="F457" s="69">
        <v>156.11000000000001</v>
      </c>
      <c r="G457" s="8">
        <f t="shared" si="16"/>
        <v>11041.660300000001</v>
      </c>
      <c r="H457" s="70">
        <v>11041.377</v>
      </c>
      <c r="I457" s="68">
        <v>12000</v>
      </c>
      <c r="J457" s="41">
        <f t="shared" si="17"/>
        <v>-7.9885249999999965</v>
      </c>
    </row>
    <row r="458" spans="1:10" ht="15.75" thickBot="1">
      <c r="A458" s="67">
        <v>10</v>
      </c>
      <c r="B458" s="68" t="s">
        <v>147</v>
      </c>
      <c r="C458" s="71" t="s">
        <v>157</v>
      </c>
      <c r="D458" s="71" t="s">
        <v>103</v>
      </c>
      <c r="E458" s="69">
        <v>92.745000000000005</v>
      </c>
      <c r="F458" s="69">
        <v>122.34</v>
      </c>
      <c r="G458" s="8">
        <f t="shared" si="16"/>
        <v>11346.4233</v>
      </c>
      <c r="H458" s="70">
        <v>11346.701999999999</v>
      </c>
      <c r="I458" s="88">
        <v>12000</v>
      </c>
      <c r="J458" s="41">
        <f t="shared" si="17"/>
        <v>-5.4441500000000058</v>
      </c>
    </row>
    <row r="459" spans="1:10" ht="15.75" thickBot="1">
      <c r="A459" s="67">
        <v>11</v>
      </c>
      <c r="B459" s="68" t="s">
        <v>19</v>
      </c>
      <c r="C459" s="68" t="s">
        <v>115</v>
      </c>
      <c r="D459" s="68" t="s">
        <v>116</v>
      </c>
      <c r="E459" s="69">
        <v>535.78899999999999</v>
      </c>
      <c r="F459" s="69">
        <v>102.75</v>
      </c>
      <c r="G459" s="8">
        <f t="shared" si="16"/>
        <v>55052.319749999995</v>
      </c>
      <c r="H459" s="70">
        <v>55052.32</v>
      </c>
      <c r="I459" s="8">
        <v>40000</v>
      </c>
      <c r="J459" s="41">
        <f t="shared" si="17"/>
        <v>37.630800000000001</v>
      </c>
    </row>
    <row r="460" spans="1:10" ht="15.75" thickBot="1">
      <c r="A460" s="67">
        <v>12</v>
      </c>
      <c r="B460" s="68" t="s">
        <v>17</v>
      </c>
      <c r="C460" s="68" t="s">
        <v>115</v>
      </c>
      <c r="D460" s="68" t="s">
        <v>117</v>
      </c>
      <c r="E460" s="69">
        <v>667.53599999999994</v>
      </c>
      <c r="F460" s="69">
        <v>78.28</v>
      </c>
      <c r="G460" s="8">
        <f t="shared" si="16"/>
        <v>52254.718079999999</v>
      </c>
      <c r="H460" s="70">
        <v>52254.718000000001</v>
      </c>
      <c r="I460" s="8">
        <v>40000</v>
      </c>
      <c r="J460" s="41">
        <f t="shared" si="17"/>
        <v>30.636794999999999</v>
      </c>
    </row>
    <row r="461" spans="1:10" ht="15.75" thickBot="1">
      <c r="A461" s="67">
        <v>13</v>
      </c>
      <c r="B461" s="68" t="s">
        <v>11</v>
      </c>
      <c r="C461" s="68" t="s">
        <v>159</v>
      </c>
      <c r="D461" s="68" t="s">
        <v>119</v>
      </c>
      <c r="E461" s="69">
        <v>475.685</v>
      </c>
      <c r="F461" s="69">
        <v>104.67</v>
      </c>
      <c r="G461" s="8">
        <f t="shared" si="16"/>
        <v>49789.948949999998</v>
      </c>
      <c r="H461" s="70">
        <v>49790.425000000003</v>
      </c>
      <c r="I461" s="8">
        <v>42000</v>
      </c>
      <c r="J461" s="41">
        <f t="shared" si="17"/>
        <v>18.548630952380961</v>
      </c>
    </row>
    <row r="462" spans="1:10" ht="15.75" thickBot="1">
      <c r="A462" s="67">
        <v>14</v>
      </c>
      <c r="B462" s="68" t="s">
        <v>40</v>
      </c>
      <c r="C462" s="68" t="s">
        <v>120</v>
      </c>
      <c r="D462" s="68" t="s">
        <v>121</v>
      </c>
      <c r="E462" s="69">
        <v>141.15799999999999</v>
      </c>
      <c r="F462" s="69">
        <v>83.46</v>
      </c>
      <c r="G462" s="8">
        <f t="shared" si="16"/>
        <v>11781.046679999998</v>
      </c>
      <c r="H462" s="70">
        <v>11780.906000000001</v>
      </c>
      <c r="I462" s="8">
        <v>12000</v>
      </c>
      <c r="J462" s="41">
        <f t="shared" si="17"/>
        <v>-1.8257833333333262</v>
      </c>
    </row>
    <row r="463" spans="1:10" ht="15.75" thickBot="1">
      <c r="A463" s="67">
        <v>15</v>
      </c>
      <c r="B463" s="68" t="s">
        <v>37</v>
      </c>
      <c r="C463" s="68" t="s">
        <v>120</v>
      </c>
      <c r="D463" s="68" t="s">
        <v>122</v>
      </c>
      <c r="E463" s="69">
        <v>162.44900000000001</v>
      </c>
      <c r="F463" s="69">
        <v>153.35</v>
      </c>
      <c r="G463" s="8">
        <f t="shared" si="16"/>
        <v>24911.55415</v>
      </c>
      <c r="H463" s="70">
        <v>24911.554</v>
      </c>
      <c r="I463" s="8">
        <v>20000</v>
      </c>
      <c r="J463" s="41">
        <f t="shared" si="17"/>
        <v>24.557770000000001</v>
      </c>
    </row>
    <row r="464" spans="1:10" ht="15.75" thickBot="1">
      <c r="A464" s="67">
        <v>16</v>
      </c>
      <c r="B464" s="68" t="s">
        <v>42</v>
      </c>
      <c r="C464" s="68" t="s">
        <v>123</v>
      </c>
      <c r="D464" s="68" t="s">
        <v>124</v>
      </c>
      <c r="E464" s="69">
        <v>89.293000000000006</v>
      </c>
      <c r="F464" s="69">
        <v>234.35</v>
      </c>
      <c r="G464" s="8">
        <f t="shared" si="16"/>
        <v>20925.814550000003</v>
      </c>
      <c r="H464" s="70">
        <v>20925.456999999999</v>
      </c>
      <c r="I464" s="68">
        <v>23000</v>
      </c>
      <c r="J464" s="41">
        <f t="shared" si="17"/>
        <v>-9.0197521739130497</v>
      </c>
    </row>
    <row r="465" spans="1:10" ht="15.75" thickBot="1">
      <c r="A465" s="67">
        <v>17</v>
      </c>
      <c r="B465" s="68" t="s">
        <v>15</v>
      </c>
      <c r="C465" s="68" t="s">
        <v>165</v>
      </c>
      <c r="D465" s="68" t="s">
        <v>162</v>
      </c>
      <c r="E465" s="69">
        <v>702.54600000000005</v>
      </c>
      <c r="F465" s="69">
        <v>86.25</v>
      </c>
      <c r="G465" s="8">
        <f t="shared" si="16"/>
        <v>60594.592500000006</v>
      </c>
      <c r="H465" s="70">
        <v>60594.593000000001</v>
      </c>
      <c r="I465" s="39">
        <v>46000</v>
      </c>
      <c r="J465" s="41">
        <f t="shared" si="17"/>
        <v>31.727376086956522</v>
      </c>
    </row>
    <row r="466" spans="1:10" ht="15.75" thickBot="1">
      <c r="A466" s="67">
        <v>18</v>
      </c>
      <c r="B466" s="68" t="s">
        <v>13</v>
      </c>
      <c r="C466" s="68" t="s">
        <v>166</v>
      </c>
      <c r="D466" s="68" t="s">
        <v>163</v>
      </c>
      <c r="E466" s="69">
        <v>327.69600000000003</v>
      </c>
      <c r="F466" s="69">
        <v>159.97999999999999</v>
      </c>
      <c r="G466" s="8">
        <f t="shared" si="16"/>
        <v>52424.806080000002</v>
      </c>
      <c r="H466" s="70">
        <v>52425.133999999998</v>
      </c>
      <c r="I466" s="8">
        <v>40000</v>
      </c>
      <c r="J466" s="41">
        <f t="shared" si="17"/>
        <v>31.062834999999993</v>
      </c>
    </row>
    <row r="467" spans="1:10" ht="15.75" thickBot="1">
      <c r="A467" s="67">
        <v>19</v>
      </c>
      <c r="B467" s="68" t="s">
        <v>95</v>
      </c>
      <c r="C467" s="68" t="s">
        <v>128</v>
      </c>
      <c r="D467" s="68" t="s">
        <v>129</v>
      </c>
      <c r="E467" s="69">
        <v>177.05799999999999</v>
      </c>
      <c r="F467" s="69">
        <v>36.630000000000003</v>
      </c>
      <c r="G467" s="8">
        <f t="shared" si="16"/>
        <v>6485.63454</v>
      </c>
      <c r="H467" s="70">
        <v>6484.9260000000004</v>
      </c>
      <c r="I467" s="69">
        <v>7000</v>
      </c>
      <c r="J467" s="41">
        <f t="shared" si="17"/>
        <v>-7.3581999999999939</v>
      </c>
    </row>
    <row r="468" spans="1:10" ht="15.75" thickBot="1">
      <c r="A468" s="72">
        <v>20</v>
      </c>
      <c r="B468" s="68" t="s">
        <v>93</v>
      </c>
      <c r="C468" s="68" t="s">
        <v>167</v>
      </c>
      <c r="D468" s="68" t="s">
        <v>164</v>
      </c>
      <c r="E468" s="68">
        <v>280.29399999999998</v>
      </c>
      <c r="F468" s="68">
        <v>23.17</v>
      </c>
      <c r="G468" s="8">
        <f t="shared" si="16"/>
        <v>6494.4119799999999</v>
      </c>
      <c r="H468" s="87">
        <v>6494.973</v>
      </c>
      <c r="I468" s="69">
        <v>7000</v>
      </c>
      <c r="J468" s="41">
        <f t="shared" si="17"/>
        <v>-7.2146714285714282</v>
      </c>
    </row>
    <row r="469" spans="1:10" ht="15.75" thickBot="1">
      <c r="A469" s="72"/>
      <c r="B469" s="68"/>
      <c r="C469" s="68"/>
      <c r="D469" s="68"/>
      <c r="E469" s="68"/>
      <c r="F469" s="68"/>
      <c r="G469" s="8"/>
      <c r="H469" s="68"/>
      <c r="I469" s="68"/>
      <c r="J469" s="68"/>
    </row>
    <row r="470" spans="1:10" ht="15.75" thickBot="1">
      <c r="A470" s="72"/>
      <c r="B470" s="68"/>
      <c r="C470" s="68"/>
      <c r="D470" s="68"/>
      <c r="E470" s="68"/>
      <c r="F470" s="68"/>
      <c r="G470" s="8"/>
      <c r="H470" s="68"/>
      <c r="I470" s="68"/>
      <c r="J470" s="68"/>
    </row>
    <row r="471" spans="1:10" ht="15.75" thickBot="1">
      <c r="A471" s="72"/>
      <c r="B471" s="68"/>
      <c r="C471" s="68"/>
      <c r="D471" s="68"/>
      <c r="E471" s="68"/>
      <c r="F471" s="68"/>
      <c r="G471" s="8"/>
      <c r="H471" s="68"/>
      <c r="I471" s="68"/>
      <c r="J471" s="68"/>
    </row>
    <row r="472" spans="1:10" ht="15.75" thickBot="1">
      <c r="A472" s="72"/>
      <c r="B472" s="68"/>
      <c r="C472" s="68"/>
      <c r="D472" s="68"/>
      <c r="E472" s="68"/>
      <c r="F472" s="68"/>
      <c r="G472" s="8"/>
      <c r="H472" s="68"/>
      <c r="I472" s="68"/>
      <c r="J472" s="68"/>
    </row>
    <row r="473" spans="1:10" ht="15.75" thickBot="1">
      <c r="A473" s="73"/>
      <c r="B473" s="74"/>
      <c r="C473" s="74"/>
      <c r="D473" s="74"/>
      <c r="E473" s="74"/>
      <c r="F473" s="74"/>
      <c r="G473" s="74">
        <f>SUM(G449:G472)</f>
        <v>518262.76978999993</v>
      </c>
      <c r="H473" s="24">
        <f>SUM(H449:H472)</f>
        <v>518263.10600000003</v>
      </c>
      <c r="I473" s="24">
        <f>SUM(I449:I472)</f>
        <v>429000</v>
      </c>
      <c r="J473" s="25">
        <f>((H473-I473)/I473)*100</f>
        <v>20.807250815850821</v>
      </c>
    </row>
    <row r="475" spans="1:10" ht="15.75" thickBot="1"/>
    <row r="476" spans="1:10" ht="15.75" thickBot="1">
      <c r="A476" s="78"/>
      <c r="B476" s="79" t="s">
        <v>172</v>
      </c>
      <c r="C476" s="79" t="s">
        <v>55</v>
      </c>
      <c r="D476" s="79" t="s">
        <v>132</v>
      </c>
      <c r="E476" s="79" t="s">
        <v>56</v>
      </c>
      <c r="F476" s="79" t="s">
        <v>57</v>
      </c>
      <c r="G476" s="79" t="s">
        <v>58</v>
      </c>
      <c r="H476" s="79" t="s">
        <v>59</v>
      </c>
      <c r="I476" s="79" t="s">
        <v>60</v>
      </c>
      <c r="J476" s="79" t="s">
        <v>133</v>
      </c>
    </row>
    <row r="477" spans="1:10" ht="15.75" thickBot="1">
      <c r="A477" s="67">
        <v>1</v>
      </c>
      <c r="B477" s="68" t="s">
        <v>21</v>
      </c>
      <c r="C477" s="68" t="s">
        <v>101</v>
      </c>
      <c r="D477" s="68" t="s">
        <v>102</v>
      </c>
      <c r="E477" s="69">
        <v>889.13800000000003</v>
      </c>
      <c r="F477" s="69">
        <v>59.45</v>
      </c>
      <c r="G477" s="8">
        <f t="shared" ref="G477:G496" si="18">E477*F477</f>
        <v>52859.254100000006</v>
      </c>
      <c r="H477" s="70">
        <v>52859.254000000001</v>
      </c>
      <c r="I477" s="8">
        <v>41000</v>
      </c>
      <c r="J477" s="41">
        <f t="shared" ref="J477:J496" si="19">((H477-I477)/I477)*100</f>
        <v>28.925009756097563</v>
      </c>
    </row>
    <row r="478" spans="1:10" ht="15.75" thickBot="1">
      <c r="A478" s="67">
        <v>2</v>
      </c>
      <c r="B478" s="68" t="s">
        <v>23</v>
      </c>
      <c r="C478" s="68" t="s">
        <v>101</v>
      </c>
      <c r="D478" s="68" t="s">
        <v>103</v>
      </c>
      <c r="E478" s="69">
        <v>671.84699999999998</v>
      </c>
      <c r="F478" s="69">
        <v>100.7</v>
      </c>
      <c r="G478" s="8">
        <f t="shared" si="18"/>
        <v>67654.992899999997</v>
      </c>
      <c r="H478" s="70">
        <v>67654.993000000002</v>
      </c>
      <c r="I478" s="8">
        <v>46000</v>
      </c>
      <c r="J478" s="41">
        <f t="shared" si="19"/>
        <v>47.076071739130434</v>
      </c>
    </row>
    <row r="479" spans="1:10" ht="15.75" thickBot="1">
      <c r="A479" s="67">
        <v>3</v>
      </c>
      <c r="B479" s="68" t="s">
        <v>99</v>
      </c>
      <c r="C479" s="68" t="s">
        <v>104</v>
      </c>
      <c r="D479" s="68" t="s">
        <v>105</v>
      </c>
      <c r="E479" s="69">
        <v>182.89699999999999</v>
      </c>
      <c r="F479" s="69">
        <v>43.32</v>
      </c>
      <c r="G479" s="8">
        <f t="shared" si="18"/>
        <v>7923.0980399999999</v>
      </c>
      <c r="H479" s="70">
        <v>7922.549</v>
      </c>
      <c r="I479" s="68">
        <v>8000</v>
      </c>
      <c r="J479" s="41">
        <f t="shared" si="19"/>
        <v>-0.96813750000000021</v>
      </c>
    </row>
    <row r="480" spans="1:10" ht="15.75" thickBot="1">
      <c r="A480" s="67">
        <v>4</v>
      </c>
      <c r="B480" s="68" t="s">
        <v>97</v>
      </c>
      <c r="C480" s="68" t="s">
        <v>104</v>
      </c>
      <c r="D480" s="68" t="s">
        <v>106</v>
      </c>
      <c r="E480" s="69">
        <v>109.96899999999999</v>
      </c>
      <c r="F480" s="69">
        <v>74.36</v>
      </c>
      <c r="G480" s="8">
        <f t="shared" si="18"/>
        <v>8177.2948399999996</v>
      </c>
      <c r="H480" s="70">
        <v>8177.1850000000004</v>
      </c>
      <c r="I480" s="68">
        <v>8000</v>
      </c>
      <c r="J480" s="41">
        <f t="shared" si="19"/>
        <v>2.2148125000000052</v>
      </c>
    </row>
    <row r="481" spans="1:10" ht="15.75" thickBot="1">
      <c r="A481" s="67">
        <v>5</v>
      </c>
      <c r="B481" s="68" t="s">
        <v>89</v>
      </c>
      <c r="C481" s="68" t="s">
        <v>107</v>
      </c>
      <c r="D481" s="68" t="s">
        <v>108</v>
      </c>
      <c r="E481" s="69">
        <v>523.87</v>
      </c>
      <c r="F481" s="69">
        <v>15.43</v>
      </c>
      <c r="G481" s="8">
        <f t="shared" si="18"/>
        <v>8083.3140999999996</v>
      </c>
      <c r="H481" s="70">
        <v>8083.3140000000003</v>
      </c>
      <c r="I481" s="68">
        <v>8000</v>
      </c>
      <c r="J481" s="41">
        <f t="shared" si="19"/>
        <v>1.0414250000000038</v>
      </c>
    </row>
    <row r="482" spans="1:10" ht="15.75" thickBot="1">
      <c r="A482" s="67">
        <v>6</v>
      </c>
      <c r="B482" s="68" t="s">
        <v>85</v>
      </c>
      <c r="C482" s="68" t="s">
        <v>107</v>
      </c>
      <c r="D482" s="68" t="s">
        <v>109</v>
      </c>
      <c r="E482" s="69">
        <v>197.96</v>
      </c>
      <c r="F482" s="69">
        <v>44.21</v>
      </c>
      <c r="G482" s="8">
        <f t="shared" si="18"/>
        <v>8751.8116000000009</v>
      </c>
      <c r="H482" s="70">
        <v>8751.8119999999999</v>
      </c>
      <c r="I482" s="68">
        <v>9000</v>
      </c>
      <c r="J482" s="41">
        <f t="shared" si="19"/>
        <v>-2.7576444444444457</v>
      </c>
    </row>
    <row r="483" spans="1:10" ht="15.75" thickBot="1">
      <c r="A483" s="67">
        <v>7</v>
      </c>
      <c r="B483" s="68" t="s">
        <v>91</v>
      </c>
      <c r="C483" s="68" t="s">
        <v>110</v>
      </c>
      <c r="D483" s="68" t="s">
        <v>111</v>
      </c>
      <c r="E483" s="69">
        <v>191.149</v>
      </c>
      <c r="F483" s="69">
        <v>41.46</v>
      </c>
      <c r="G483" s="8">
        <f t="shared" si="18"/>
        <v>7925.0375400000003</v>
      </c>
      <c r="H483" s="70">
        <v>7924.4639999999999</v>
      </c>
      <c r="I483" s="68">
        <v>8000</v>
      </c>
      <c r="J483" s="41">
        <f t="shared" si="19"/>
        <v>-0.94420000000000082</v>
      </c>
    </row>
    <row r="484" spans="1:10" ht="15.75" thickBot="1">
      <c r="A484" s="67">
        <v>8</v>
      </c>
      <c r="B484" s="68" t="s">
        <v>87</v>
      </c>
      <c r="C484" s="68" t="s">
        <v>158</v>
      </c>
      <c r="D484" s="68" t="s">
        <v>160</v>
      </c>
      <c r="E484" s="69">
        <v>99.396000000000001</v>
      </c>
      <c r="F484" s="69">
        <v>82.32</v>
      </c>
      <c r="G484" s="8">
        <f t="shared" si="18"/>
        <v>8182.2787199999993</v>
      </c>
      <c r="H484" s="70">
        <v>8182.2790000000005</v>
      </c>
      <c r="I484" s="68">
        <v>8000</v>
      </c>
      <c r="J484" s="41">
        <f t="shared" si="19"/>
        <v>2.2784875000000056</v>
      </c>
    </row>
    <row r="485" spans="1:10" ht="15.75" thickBot="1">
      <c r="A485" s="67">
        <v>9</v>
      </c>
      <c r="B485" s="68" t="s">
        <v>41</v>
      </c>
      <c r="C485" s="68" t="s">
        <v>156</v>
      </c>
      <c r="D485" s="68" t="s">
        <v>161</v>
      </c>
      <c r="E485" s="69">
        <v>76.866</v>
      </c>
      <c r="F485" s="69">
        <v>165.89</v>
      </c>
      <c r="G485" s="8">
        <f t="shared" si="18"/>
        <v>12751.300739999999</v>
      </c>
      <c r="H485" s="70">
        <v>12750.993</v>
      </c>
      <c r="I485" s="68">
        <v>13000</v>
      </c>
      <c r="J485" s="41">
        <f t="shared" si="19"/>
        <v>-1.9154384615384583</v>
      </c>
    </row>
    <row r="486" spans="1:10" ht="15.75" thickBot="1">
      <c r="A486" s="67">
        <v>10</v>
      </c>
      <c r="B486" s="68" t="s">
        <v>147</v>
      </c>
      <c r="C486" s="71" t="s">
        <v>157</v>
      </c>
      <c r="D486" s="71" t="s">
        <v>103</v>
      </c>
      <c r="E486" s="69">
        <v>109.158</v>
      </c>
      <c r="F486" s="69">
        <v>129.5</v>
      </c>
      <c r="G486" s="8">
        <f t="shared" si="18"/>
        <v>14135.960999999999</v>
      </c>
      <c r="H486" s="70">
        <v>14135.852000000001</v>
      </c>
      <c r="I486" s="88">
        <v>14000</v>
      </c>
      <c r="J486" s="41">
        <f t="shared" si="19"/>
        <v>0.9703714285714341</v>
      </c>
    </row>
    <row r="487" spans="1:10" ht="15.75" thickBot="1">
      <c r="A487" s="67">
        <v>11</v>
      </c>
      <c r="B487" s="68" t="s">
        <v>19</v>
      </c>
      <c r="C487" s="68" t="s">
        <v>115</v>
      </c>
      <c r="D487" s="68" t="s">
        <v>116</v>
      </c>
      <c r="E487" s="69">
        <v>545.02</v>
      </c>
      <c r="F487" s="69">
        <v>107.73</v>
      </c>
      <c r="G487" s="8">
        <f t="shared" si="18"/>
        <v>58715.0046</v>
      </c>
      <c r="H487" s="70">
        <v>58715.004999999997</v>
      </c>
      <c r="I487" s="8">
        <v>41000</v>
      </c>
      <c r="J487" s="41">
        <f t="shared" si="19"/>
        <v>43.207329268292675</v>
      </c>
    </row>
    <row r="488" spans="1:10" ht="15.75" thickBot="1">
      <c r="A488" s="67">
        <v>12</v>
      </c>
      <c r="B488" s="68" t="s">
        <v>17</v>
      </c>
      <c r="C488" s="68" t="s">
        <v>115</v>
      </c>
      <c r="D488" s="68" t="s">
        <v>117</v>
      </c>
      <c r="E488" s="69">
        <v>679.947</v>
      </c>
      <c r="F488" s="69">
        <v>82.23</v>
      </c>
      <c r="G488" s="8">
        <f t="shared" si="18"/>
        <v>55912.041810000002</v>
      </c>
      <c r="H488" s="70">
        <v>55912.042000000001</v>
      </c>
      <c r="I488" s="8">
        <v>41000</v>
      </c>
      <c r="J488" s="41">
        <f t="shared" si="19"/>
        <v>36.370834146341465</v>
      </c>
    </row>
    <row r="489" spans="1:10" ht="15.75" thickBot="1">
      <c r="A489" s="67">
        <v>13</v>
      </c>
      <c r="B489" s="68" t="s">
        <v>11</v>
      </c>
      <c r="C489" s="68" t="s">
        <v>159</v>
      </c>
      <c r="D489" s="68" t="s">
        <v>119</v>
      </c>
      <c r="E489" s="69">
        <v>484.96600000000001</v>
      </c>
      <c r="F489" s="69">
        <v>109.66</v>
      </c>
      <c r="G489" s="8">
        <f t="shared" si="18"/>
        <v>53181.37156</v>
      </c>
      <c r="H489" s="70">
        <v>53180.887000000002</v>
      </c>
      <c r="I489" s="8">
        <v>43000</v>
      </c>
      <c r="J489" s="41">
        <f t="shared" si="19"/>
        <v>23.676481395348841</v>
      </c>
    </row>
    <row r="490" spans="1:10" ht="15.75" thickBot="1">
      <c r="A490" s="67">
        <v>14</v>
      </c>
      <c r="B490" s="68" t="s">
        <v>40</v>
      </c>
      <c r="C490" s="68" t="s">
        <v>120</v>
      </c>
      <c r="D490" s="68" t="s">
        <v>121</v>
      </c>
      <c r="E490" s="69">
        <v>152.53299999999999</v>
      </c>
      <c r="F490" s="69">
        <v>87.67</v>
      </c>
      <c r="G490" s="8">
        <f t="shared" si="18"/>
        <v>13372.568109999998</v>
      </c>
      <c r="H490" s="70">
        <v>13372.111000000001</v>
      </c>
      <c r="I490" s="8">
        <v>13000</v>
      </c>
      <c r="J490" s="41">
        <f t="shared" si="19"/>
        <v>2.8623923076923137</v>
      </c>
    </row>
    <row r="491" spans="1:10" ht="15.75" thickBot="1">
      <c r="A491" s="67">
        <v>15</v>
      </c>
      <c r="B491" s="68" t="s">
        <v>37</v>
      </c>
      <c r="C491" s="68" t="s">
        <v>120</v>
      </c>
      <c r="D491" s="68" t="s">
        <v>122</v>
      </c>
      <c r="E491" s="69">
        <v>168.803</v>
      </c>
      <c r="F491" s="69">
        <v>160.31</v>
      </c>
      <c r="G491" s="8">
        <f t="shared" si="18"/>
        <v>27060.808929999999</v>
      </c>
      <c r="H491" s="70">
        <v>27060.303</v>
      </c>
      <c r="I491" s="8">
        <v>21000</v>
      </c>
      <c r="J491" s="41">
        <f t="shared" si="19"/>
        <v>28.858585714285713</v>
      </c>
    </row>
    <row r="492" spans="1:10" ht="15.75" thickBot="1">
      <c r="A492" s="67">
        <v>16</v>
      </c>
      <c r="B492" s="68" t="s">
        <v>42</v>
      </c>
      <c r="C492" s="68" t="s">
        <v>123</v>
      </c>
      <c r="D492" s="68" t="s">
        <v>124</v>
      </c>
      <c r="E492" s="69">
        <v>89.293000000000006</v>
      </c>
      <c r="F492" s="69">
        <v>245.2</v>
      </c>
      <c r="G492" s="8">
        <f t="shared" si="18"/>
        <v>21894.643599999999</v>
      </c>
      <c r="H492" s="70">
        <v>21895.001</v>
      </c>
      <c r="I492" s="68">
        <v>24000</v>
      </c>
      <c r="J492" s="41">
        <f t="shared" si="19"/>
        <v>-8.7708291666666653</v>
      </c>
    </row>
    <row r="493" spans="1:10" ht="15.75" thickBot="1">
      <c r="A493" s="67">
        <v>17</v>
      </c>
      <c r="B493" s="68" t="s">
        <v>15</v>
      </c>
      <c r="C493" s="68" t="s">
        <v>165</v>
      </c>
      <c r="D493" s="68" t="s">
        <v>162</v>
      </c>
      <c r="E493" s="69">
        <v>713.553</v>
      </c>
      <c r="F493" s="69">
        <v>90.27</v>
      </c>
      <c r="G493" s="8">
        <f t="shared" si="18"/>
        <v>64412.42931</v>
      </c>
      <c r="H493" s="70">
        <v>64409.574999999997</v>
      </c>
      <c r="I493" s="39">
        <v>47000</v>
      </c>
      <c r="J493" s="41">
        <f t="shared" si="19"/>
        <v>37.041648936170205</v>
      </c>
    </row>
    <row r="494" spans="1:10" ht="15.75" thickBot="1">
      <c r="A494" s="67">
        <v>18</v>
      </c>
      <c r="B494" s="68" t="s">
        <v>13</v>
      </c>
      <c r="C494" s="68" t="s">
        <v>166</v>
      </c>
      <c r="D494" s="68" t="s">
        <v>163</v>
      </c>
      <c r="E494" s="69">
        <v>333.85500000000002</v>
      </c>
      <c r="F494" s="69">
        <v>164.83</v>
      </c>
      <c r="G494" s="8">
        <f t="shared" si="18"/>
        <v>55029.319650000005</v>
      </c>
      <c r="H494" s="70">
        <v>55029.32</v>
      </c>
      <c r="I494" s="8">
        <v>41000</v>
      </c>
      <c r="J494" s="41">
        <f t="shared" si="19"/>
        <v>34.217853658536583</v>
      </c>
    </row>
    <row r="495" spans="1:10" ht="15.75" thickBot="1">
      <c r="A495" s="67">
        <v>19</v>
      </c>
      <c r="B495" s="68" t="s">
        <v>95</v>
      </c>
      <c r="C495" s="68" t="s">
        <v>128</v>
      </c>
      <c r="D495" s="68" t="s">
        <v>129</v>
      </c>
      <c r="E495" s="69">
        <v>205.018</v>
      </c>
      <c r="F495" s="69">
        <v>37.83</v>
      </c>
      <c r="G495" s="8">
        <f t="shared" si="18"/>
        <v>7755.8309399999998</v>
      </c>
      <c r="H495" s="70">
        <v>7755.4210000000003</v>
      </c>
      <c r="I495" s="69">
        <v>8000</v>
      </c>
      <c r="J495" s="41">
        <f t="shared" si="19"/>
        <v>-3.0572374999999963</v>
      </c>
    </row>
    <row r="496" spans="1:10" ht="15.75" thickBot="1">
      <c r="A496" s="72">
        <v>20</v>
      </c>
      <c r="B496" s="68" t="s">
        <v>93</v>
      </c>
      <c r="C496" s="68" t="s">
        <v>167</v>
      </c>
      <c r="D496" s="68" t="s">
        <v>164</v>
      </c>
      <c r="E496" s="68">
        <v>323.637</v>
      </c>
      <c r="F496" s="68">
        <v>24.32</v>
      </c>
      <c r="G496" s="8">
        <f t="shared" si="18"/>
        <v>7870.8518400000003</v>
      </c>
      <c r="H496" s="87">
        <v>7870.5280000000002</v>
      </c>
      <c r="I496" s="69">
        <v>8000</v>
      </c>
      <c r="J496" s="41">
        <f t="shared" si="19"/>
        <v>-1.618399999999997</v>
      </c>
    </row>
    <row r="497" spans="1:10" ht="15.75" thickBot="1">
      <c r="A497" s="72"/>
      <c r="B497" s="68"/>
      <c r="C497" s="68"/>
      <c r="D497" s="68"/>
      <c r="E497" s="68"/>
      <c r="F497" s="68"/>
      <c r="G497" s="8"/>
      <c r="H497" s="68"/>
      <c r="I497" s="68"/>
      <c r="J497" s="68"/>
    </row>
    <row r="498" spans="1:10" ht="15.75" thickBot="1">
      <c r="A498" s="72"/>
      <c r="B498" s="68"/>
      <c r="C498" s="68"/>
      <c r="D498" s="68"/>
      <c r="E498" s="68"/>
      <c r="F498" s="68"/>
      <c r="G498" s="8"/>
      <c r="H498" s="68"/>
      <c r="I498" s="68"/>
      <c r="J498" s="68"/>
    </row>
    <row r="499" spans="1:10" ht="15.75" thickBot="1">
      <c r="A499" s="72"/>
      <c r="B499" s="68"/>
      <c r="C499" s="68"/>
      <c r="D499" s="68"/>
      <c r="E499" s="68"/>
      <c r="F499" s="68"/>
      <c r="G499" s="8"/>
      <c r="H499" s="68"/>
      <c r="I499" s="68"/>
      <c r="J499" s="68"/>
    </row>
    <row r="500" spans="1:10" ht="15.75" thickBot="1">
      <c r="A500" s="72"/>
      <c r="B500" s="68"/>
      <c r="C500" s="68"/>
      <c r="D500" s="68"/>
      <c r="E500" s="68"/>
      <c r="F500" s="68"/>
      <c r="G500" s="8"/>
      <c r="H500" s="68"/>
      <c r="I500" s="68"/>
      <c r="J500" s="68"/>
    </row>
    <row r="501" spans="1:10" ht="15.75" thickBot="1">
      <c r="A501" s="73"/>
      <c r="B501" s="74"/>
      <c r="C501" s="74"/>
      <c r="D501" s="74"/>
      <c r="E501" s="74"/>
      <c r="F501" s="74"/>
      <c r="G501" s="74">
        <f>SUM(G477:G500)</f>
        <v>561649.21393000009</v>
      </c>
      <c r="H501" s="24">
        <f>SUM(H477:H500)</f>
        <v>561642.88800000004</v>
      </c>
      <c r="I501" s="24">
        <f>SUM(I477:I500)</f>
        <v>450000</v>
      </c>
      <c r="J501" s="25">
        <f>((H501-I501)/I501)*100</f>
        <v>24.809530666666674</v>
      </c>
    </row>
    <row r="503" spans="1:10" ht="15.75" thickBot="1"/>
    <row r="504" spans="1:10" ht="15.75" thickBot="1">
      <c r="A504" s="78"/>
      <c r="B504" s="79" t="s">
        <v>173</v>
      </c>
      <c r="C504" s="79" t="s">
        <v>55</v>
      </c>
      <c r="D504" s="79" t="s">
        <v>132</v>
      </c>
      <c r="E504" s="79" t="s">
        <v>56</v>
      </c>
      <c r="F504" s="79" t="s">
        <v>57</v>
      </c>
      <c r="G504" s="79" t="s">
        <v>58</v>
      </c>
      <c r="H504" s="79" t="s">
        <v>59</v>
      </c>
      <c r="I504" s="79" t="s">
        <v>60</v>
      </c>
      <c r="J504" s="79" t="s">
        <v>133</v>
      </c>
    </row>
    <row r="505" spans="1:10" ht="15.75" thickBot="1">
      <c r="A505" s="67">
        <v>1</v>
      </c>
      <c r="B505" s="68" t="s">
        <v>21</v>
      </c>
      <c r="C505" s="68" t="s">
        <v>101</v>
      </c>
      <c r="D505" s="68" t="s">
        <v>102</v>
      </c>
      <c r="E505" s="69">
        <v>905.702</v>
      </c>
      <c r="F505" s="69">
        <v>61.45</v>
      </c>
      <c r="G505" s="8">
        <f t="shared" ref="G505:G524" si="20">E505*F505</f>
        <v>55655.387900000002</v>
      </c>
      <c r="H505" s="70">
        <v>55655.387999999999</v>
      </c>
      <c r="I505" s="8">
        <v>42000</v>
      </c>
      <c r="J505" s="41">
        <f t="shared" ref="J505:J524" si="21">((H505-I505)/I505)*100</f>
        <v>32.512828571428571</v>
      </c>
    </row>
    <row r="506" spans="1:10" ht="15.75" thickBot="1">
      <c r="A506" s="67">
        <v>2</v>
      </c>
      <c r="B506" s="68" t="s">
        <v>23</v>
      </c>
      <c r="C506" s="68" t="s">
        <v>101</v>
      </c>
      <c r="D506" s="68" t="s">
        <v>103</v>
      </c>
      <c r="E506" s="69">
        <v>681.19500000000005</v>
      </c>
      <c r="F506" s="69">
        <v>107.4</v>
      </c>
      <c r="G506" s="8">
        <f t="shared" si="20"/>
        <v>73160.343000000008</v>
      </c>
      <c r="H506" s="70">
        <v>73160.342999999993</v>
      </c>
      <c r="I506" s="8">
        <v>47000</v>
      </c>
      <c r="J506" s="41">
        <f t="shared" si="21"/>
        <v>55.66030425531914</v>
      </c>
    </row>
    <row r="507" spans="1:10" ht="15.75" thickBot="1">
      <c r="A507" s="67">
        <v>3</v>
      </c>
      <c r="B507" s="68" t="s">
        <v>99</v>
      </c>
      <c r="C507" s="68" t="s">
        <v>104</v>
      </c>
      <c r="D507" s="68" t="s">
        <v>105</v>
      </c>
      <c r="E507" s="69">
        <v>204.33799999999999</v>
      </c>
      <c r="F507" s="69">
        <v>46.76</v>
      </c>
      <c r="G507" s="8">
        <f t="shared" si="20"/>
        <v>9554.8448799999987</v>
      </c>
      <c r="H507" s="70">
        <v>9554.232</v>
      </c>
      <c r="I507" s="68">
        <v>9000</v>
      </c>
      <c r="J507" s="41">
        <f t="shared" si="21"/>
        <v>6.1581333333333328</v>
      </c>
    </row>
    <row r="508" spans="1:10" ht="15.75" thickBot="1">
      <c r="A508" s="67">
        <v>4</v>
      </c>
      <c r="B508" s="68" t="s">
        <v>97</v>
      </c>
      <c r="C508" s="68" t="s">
        <v>104</v>
      </c>
      <c r="D508" s="68" t="s">
        <v>106</v>
      </c>
      <c r="E508" s="69">
        <v>123.089</v>
      </c>
      <c r="F508" s="69">
        <v>77.45</v>
      </c>
      <c r="G508" s="8">
        <f t="shared" si="20"/>
        <v>9533.2430500000009</v>
      </c>
      <c r="H508" s="70">
        <v>9532.6280000000006</v>
      </c>
      <c r="I508" s="68">
        <v>9000</v>
      </c>
      <c r="J508" s="41">
        <f t="shared" si="21"/>
        <v>5.9180888888888958</v>
      </c>
    </row>
    <row r="509" spans="1:10" ht="15.75" thickBot="1">
      <c r="A509" s="67">
        <v>5</v>
      </c>
      <c r="B509" s="68" t="s">
        <v>89</v>
      </c>
      <c r="C509" s="68" t="s">
        <v>107</v>
      </c>
      <c r="D509" s="68" t="s">
        <v>108</v>
      </c>
      <c r="E509" s="69">
        <v>586.95799999999997</v>
      </c>
      <c r="F509" s="69">
        <v>16.11</v>
      </c>
      <c r="G509" s="8">
        <f t="shared" si="20"/>
        <v>9455.8933799999995</v>
      </c>
      <c r="H509" s="70">
        <v>9455.893</v>
      </c>
      <c r="I509" s="68">
        <v>9000</v>
      </c>
      <c r="J509" s="41">
        <f t="shared" si="21"/>
        <v>5.0654777777777777</v>
      </c>
    </row>
    <row r="510" spans="1:10" ht="15.75" thickBot="1">
      <c r="A510" s="67">
        <v>6</v>
      </c>
      <c r="B510" s="68" t="s">
        <v>85</v>
      </c>
      <c r="C510" s="68" t="s">
        <v>107</v>
      </c>
      <c r="D510" s="68" t="s">
        <v>109</v>
      </c>
      <c r="E510" s="69">
        <v>219.53899999999999</v>
      </c>
      <c r="F510" s="69">
        <v>46.67</v>
      </c>
      <c r="G510" s="8">
        <f t="shared" si="20"/>
        <v>10245.885130000001</v>
      </c>
      <c r="H510" s="70">
        <v>10245.885</v>
      </c>
      <c r="I510" s="68">
        <v>10000</v>
      </c>
      <c r="J510" s="41">
        <f t="shared" si="21"/>
        <v>2.4588500000000022</v>
      </c>
    </row>
    <row r="511" spans="1:10" ht="15.75" thickBot="1">
      <c r="A511" s="67">
        <v>7</v>
      </c>
      <c r="B511" s="68" t="s">
        <v>91</v>
      </c>
      <c r="C511" s="68" t="s">
        <v>110</v>
      </c>
      <c r="D511" s="68" t="s">
        <v>111</v>
      </c>
      <c r="E511" s="69">
        <v>214.13300000000001</v>
      </c>
      <c r="F511" s="69">
        <v>44.35</v>
      </c>
      <c r="G511" s="8">
        <f t="shared" si="20"/>
        <v>9496.7985500000013</v>
      </c>
      <c r="H511" s="70">
        <v>9496.7990000000009</v>
      </c>
      <c r="I511" s="68">
        <v>9000</v>
      </c>
      <c r="J511" s="41">
        <f t="shared" si="21"/>
        <v>5.5199888888888982</v>
      </c>
    </row>
    <row r="512" spans="1:10" ht="15.75" thickBot="1">
      <c r="A512" s="67">
        <v>8</v>
      </c>
      <c r="B512" s="68" t="s">
        <v>87</v>
      </c>
      <c r="C512" s="68" t="s">
        <v>158</v>
      </c>
      <c r="D512" s="68" t="s">
        <v>160</v>
      </c>
      <c r="E512" s="69">
        <v>111.324</v>
      </c>
      <c r="F512" s="69">
        <v>85.35</v>
      </c>
      <c r="G512" s="8">
        <f t="shared" si="20"/>
        <v>9501.5033999999996</v>
      </c>
      <c r="H512" s="70">
        <v>9501.5030000000006</v>
      </c>
      <c r="I512" s="68">
        <v>9000</v>
      </c>
      <c r="J512" s="41">
        <f t="shared" si="21"/>
        <v>5.5722555555555626</v>
      </c>
    </row>
    <row r="513" spans="1:10" ht="15.75" thickBot="1">
      <c r="A513" s="67">
        <v>9</v>
      </c>
      <c r="B513" s="68" t="s">
        <v>41</v>
      </c>
      <c r="C513" s="68" t="s">
        <v>156</v>
      </c>
      <c r="D513" s="68" t="s">
        <v>161</v>
      </c>
      <c r="E513" s="69">
        <v>82.573999999999998</v>
      </c>
      <c r="F513" s="69">
        <v>174.03</v>
      </c>
      <c r="G513" s="8">
        <f t="shared" si="20"/>
        <v>14370.353219999999</v>
      </c>
      <c r="H513" s="70">
        <v>14370.271000000001</v>
      </c>
      <c r="I513" s="68">
        <v>14000</v>
      </c>
      <c r="J513" s="41">
        <f t="shared" si="21"/>
        <v>2.6447928571428618</v>
      </c>
    </row>
    <row r="514" spans="1:10" ht="15.75" thickBot="1">
      <c r="A514" s="67">
        <v>10</v>
      </c>
      <c r="B514" s="68" t="s">
        <v>147</v>
      </c>
      <c r="C514" s="71" t="s">
        <v>157</v>
      </c>
      <c r="D514" s="71" t="s">
        <v>103</v>
      </c>
      <c r="E514" s="69">
        <v>123.62</v>
      </c>
      <c r="F514" s="69">
        <v>138.97</v>
      </c>
      <c r="G514" s="8">
        <f t="shared" si="20"/>
        <v>17179.471400000002</v>
      </c>
      <c r="H514" s="70">
        <v>17179.223999999998</v>
      </c>
      <c r="I514" s="88">
        <v>16000</v>
      </c>
      <c r="J514" s="41">
        <f t="shared" si="21"/>
        <v>7.3701499999999891</v>
      </c>
    </row>
    <row r="515" spans="1:10" ht="15.75" thickBot="1">
      <c r="A515" s="67">
        <v>11</v>
      </c>
      <c r="B515" s="68" t="s">
        <v>19</v>
      </c>
      <c r="C515" s="68" t="s">
        <v>115</v>
      </c>
      <c r="D515" s="68" t="s">
        <v>116</v>
      </c>
      <c r="E515" s="69">
        <v>554.09500000000003</v>
      </c>
      <c r="F515" s="69">
        <v>111.49</v>
      </c>
      <c r="G515" s="8">
        <f t="shared" si="20"/>
        <v>61776.051550000004</v>
      </c>
      <c r="H515" s="70">
        <v>61776.052000000003</v>
      </c>
      <c r="I515" s="8">
        <v>42000</v>
      </c>
      <c r="J515" s="41">
        <f t="shared" si="21"/>
        <v>47.085838095238103</v>
      </c>
    </row>
    <row r="516" spans="1:10" ht="15.75" thickBot="1">
      <c r="A516" s="67">
        <v>12</v>
      </c>
      <c r="B516" s="68" t="s">
        <v>17</v>
      </c>
      <c r="C516" s="68" t="s">
        <v>115</v>
      </c>
      <c r="D516" s="68" t="s">
        <v>117</v>
      </c>
      <c r="E516" s="69">
        <v>691.34799999999996</v>
      </c>
      <c r="F516" s="69">
        <v>87.71</v>
      </c>
      <c r="G516" s="8">
        <f t="shared" si="20"/>
        <v>60638.133079999992</v>
      </c>
      <c r="H516" s="70">
        <v>60638.133000000002</v>
      </c>
      <c r="I516" s="8">
        <v>42000</v>
      </c>
      <c r="J516" s="41">
        <f t="shared" si="21"/>
        <v>44.37650714285715</v>
      </c>
    </row>
    <row r="517" spans="1:10" ht="15.75" thickBot="1">
      <c r="A517" s="67">
        <v>13</v>
      </c>
      <c r="B517" s="68" t="s">
        <v>11</v>
      </c>
      <c r="C517" s="68" t="s">
        <v>159</v>
      </c>
      <c r="D517" s="68" t="s">
        <v>119</v>
      </c>
      <c r="E517" s="69">
        <v>493.88299999999998</v>
      </c>
      <c r="F517" s="69">
        <v>113.88</v>
      </c>
      <c r="G517" s="8">
        <f t="shared" si="20"/>
        <v>56243.396039999992</v>
      </c>
      <c r="H517" s="70">
        <v>56241.421000000002</v>
      </c>
      <c r="I517" s="8">
        <v>44000</v>
      </c>
      <c r="J517" s="41">
        <f t="shared" si="21"/>
        <v>27.821411363636368</v>
      </c>
    </row>
    <row r="518" spans="1:10" ht="15.75" thickBot="1">
      <c r="A518" s="67">
        <v>14</v>
      </c>
      <c r="B518" s="68" t="s">
        <v>40</v>
      </c>
      <c r="C518" s="68" t="s">
        <v>120</v>
      </c>
      <c r="D518" s="68" t="s">
        <v>121</v>
      </c>
      <c r="E518" s="69">
        <v>163.53399999999999</v>
      </c>
      <c r="F518" s="69">
        <v>91.61</v>
      </c>
      <c r="G518" s="8">
        <f t="shared" si="20"/>
        <v>14981.34974</v>
      </c>
      <c r="H518" s="70">
        <v>14981.84</v>
      </c>
      <c r="I518" s="8">
        <v>14000</v>
      </c>
      <c r="J518" s="41">
        <f t="shared" si="21"/>
        <v>7.0131428571428582</v>
      </c>
    </row>
    <row r="519" spans="1:10" ht="15.75" thickBot="1">
      <c r="A519" s="67">
        <v>15</v>
      </c>
      <c r="B519" s="68" t="s">
        <v>37</v>
      </c>
      <c r="C519" s="68" t="s">
        <v>120</v>
      </c>
      <c r="D519" s="68" t="s">
        <v>122</v>
      </c>
      <c r="E519" s="69">
        <v>174.66200000000001</v>
      </c>
      <c r="F519" s="69">
        <v>171.18</v>
      </c>
      <c r="G519" s="8">
        <f t="shared" si="20"/>
        <v>29898.641160000003</v>
      </c>
      <c r="H519" s="70">
        <v>29898.641</v>
      </c>
      <c r="I519" s="8">
        <v>22000</v>
      </c>
      <c r="J519" s="41">
        <f t="shared" si="21"/>
        <v>35.902913636363635</v>
      </c>
    </row>
    <row r="520" spans="1:10" ht="15.75" thickBot="1">
      <c r="A520" s="67">
        <v>16</v>
      </c>
      <c r="B520" s="68" t="s">
        <v>42</v>
      </c>
      <c r="C520" s="68" t="s">
        <v>123</v>
      </c>
      <c r="D520" s="68" t="s">
        <v>124</v>
      </c>
      <c r="E520" s="69">
        <v>97.275999999999996</v>
      </c>
      <c r="F520" s="69">
        <v>257.89999999999998</v>
      </c>
      <c r="G520" s="8">
        <f t="shared" si="20"/>
        <v>25087.480399999997</v>
      </c>
      <c r="H520" s="70">
        <v>25087.674999999999</v>
      </c>
      <c r="I520" s="68">
        <v>25000</v>
      </c>
      <c r="J520" s="41">
        <f t="shared" si="21"/>
        <v>0.35069999999999713</v>
      </c>
    </row>
    <row r="521" spans="1:10" ht="15.75" thickBot="1">
      <c r="A521" s="67">
        <v>17</v>
      </c>
      <c r="B521" s="68" t="s">
        <v>15</v>
      </c>
      <c r="C521" s="68" t="s">
        <v>165</v>
      </c>
      <c r="D521" s="68" t="s">
        <v>162</v>
      </c>
      <c r="E521" s="69">
        <v>724.35699999999997</v>
      </c>
      <c r="F521" s="69">
        <v>93.67</v>
      </c>
      <c r="G521" s="8">
        <f t="shared" si="20"/>
        <v>67850.520189999996</v>
      </c>
      <c r="H521" s="70">
        <v>67847.623000000007</v>
      </c>
      <c r="I521" s="39">
        <v>48000</v>
      </c>
      <c r="J521" s="41">
        <f t="shared" si="21"/>
        <v>41.34921458333335</v>
      </c>
    </row>
    <row r="522" spans="1:10" ht="15.75" thickBot="1">
      <c r="A522" s="67">
        <v>18</v>
      </c>
      <c r="B522" s="68" t="s">
        <v>13</v>
      </c>
      <c r="C522" s="68" t="s">
        <v>166</v>
      </c>
      <c r="D522" s="68" t="s">
        <v>163</v>
      </c>
      <c r="E522" s="69">
        <v>339.67899999999997</v>
      </c>
      <c r="F522" s="69">
        <v>172.43</v>
      </c>
      <c r="G522" s="8">
        <f t="shared" si="20"/>
        <v>58570.849969999996</v>
      </c>
      <c r="H522" s="70">
        <v>58572.209000000003</v>
      </c>
      <c r="I522" s="8">
        <v>42000</v>
      </c>
      <c r="J522" s="41">
        <f t="shared" si="21"/>
        <v>39.457640476190484</v>
      </c>
    </row>
    <row r="523" spans="1:10" ht="15.75" thickBot="1">
      <c r="A523" s="67">
        <v>19</v>
      </c>
      <c r="B523" s="68" t="s">
        <v>95</v>
      </c>
      <c r="C523" s="68" t="s">
        <v>128</v>
      </c>
      <c r="D523" s="68" t="s">
        <v>129</v>
      </c>
      <c r="E523" s="69">
        <v>230.16900000000001</v>
      </c>
      <c r="F523" s="69">
        <v>40.25</v>
      </c>
      <c r="G523" s="8">
        <f t="shared" si="20"/>
        <v>9264.3022500000006</v>
      </c>
      <c r="H523" s="70">
        <v>9264.9930000000004</v>
      </c>
      <c r="I523" s="69">
        <v>9000</v>
      </c>
      <c r="J523" s="41">
        <f t="shared" si="21"/>
        <v>2.9443666666666712</v>
      </c>
    </row>
    <row r="524" spans="1:10" ht="15.75" thickBot="1">
      <c r="A524" s="72">
        <v>20</v>
      </c>
      <c r="B524" s="68" t="s">
        <v>93</v>
      </c>
      <c r="C524" s="68" t="s">
        <v>167</v>
      </c>
      <c r="D524" s="68" t="s">
        <v>164</v>
      </c>
      <c r="E524" s="68">
        <v>362.488</v>
      </c>
      <c r="F524" s="68">
        <v>26.32</v>
      </c>
      <c r="G524" s="8">
        <f t="shared" si="20"/>
        <v>9540.6841600000007</v>
      </c>
      <c r="H524" s="87">
        <v>9541.4089999999997</v>
      </c>
      <c r="I524" s="69">
        <v>9000</v>
      </c>
      <c r="J524" s="41">
        <f t="shared" si="21"/>
        <v>6.0156555555555515</v>
      </c>
    </row>
    <row r="525" spans="1:10" ht="15.75" thickBot="1">
      <c r="A525" s="72"/>
      <c r="B525" s="68"/>
      <c r="C525" s="68"/>
      <c r="D525" s="68"/>
      <c r="E525" s="68"/>
      <c r="F525" s="68"/>
      <c r="G525" s="8"/>
      <c r="H525" s="68"/>
      <c r="I525" s="68"/>
      <c r="J525" s="68"/>
    </row>
    <row r="526" spans="1:10" ht="15.75" thickBot="1">
      <c r="A526" s="72"/>
      <c r="B526" s="68"/>
      <c r="C526" s="68"/>
      <c r="D526" s="68"/>
      <c r="E526" s="68"/>
      <c r="F526" s="68"/>
      <c r="G526" s="8"/>
      <c r="H526" s="68"/>
      <c r="I526" s="68"/>
      <c r="J526" s="68"/>
    </row>
    <row r="527" spans="1:10" ht="15.75" thickBot="1">
      <c r="A527" s="72"/>
      <c r="B527" s="68"/>
      <c r="C527" s="68"/>
      <c r="D527" s="68"/>
      <c r="E527" s="68"/>
      <c r="F527" s="68"/>
      <c r="G527" s="8"/>
      <c r="H527" s="68"/>
      <c r="I527" s="68"/>
      <c r="J527" s="68"/>
    </row>
    <row r="528" spans="1:10" ht="15.75" thickBot="1">
      <c r="A528" s="72"/>
      <c r="B528" s="68"/>
      <c r="C528" s="68"/>
      <c r="D528" s="68"/>
      <c r="E528" s="68"/>
      <c r="F528" s="68"/>
      <c r="G528" s="8"/>
      <c r="H528" s="68"/>
      <c r="I528" s="68"/>
      <c r="J528" s="68"/>
    </row>
    <row r="529" spans="1:10" ht="15.75" thickBot="1">
      <c r="A529" s="73"/>
      <c r="B529" s="74"/>
      <c r="C529" s="74"/>
      <c r="D529" s="74"/>
      <c r="E529" s="74"/>
      <c r="F529" s="74"/>
      <c r="G529" s="74">
        <f>SUM(G505:G528)</f>
        <v>612005.1324499998</v>
      </c>
      <c r="H529" s="24">
        <f>SUM(H505:H528)</f>
        <v>612002.16200000001</v>
      </c>
      <c r="I529" s="24">
        <f>SUM(I505:I528)</f>
        <v>471000</v>
      </c>
      <c r="J529" s="25">
        <f>((H529-I529)/I529)*100</f>
        <v>29.936764755838645</v>
      </c>
    </row>
    <row r="531" spans="1:10" ht="15.75" thickBot="1"/>
    <row r="532" spans="1:10" ht="15.75" thickBot="1">
      <c r="A532" s="78"/>
      <c r="B532" s="79" t="s">
        <v>174</v>
      </c>
      <c r="C532" s="79" t="s">
        <v>55</v>
      </c>
      <c r="D532" s="79" t="s">
        <v>132</v>
      </c>
      <c r="E532" s="79" t="s">
        <v>56</v>
      </c>
      <c r="F532" s="79" t="s">
        <v>57</v>
      </c>
      <c r="G532" s="79" t="s">
        <v>58</v>
      </c>
      <c r="H532" s="79" t="s">
        <v>59</v>
      </c>
      <c r="I532" s="79" t="s">
        <v>60</v>
      </c>
      <c r="J532" s="79" t="s">
        <v>133</v>
      </c>
    </row>
    <row r="533" spans="1:10" ht="15.75" thickBot="1">
      <c r="A533" s="67">
        <v>1</v>
      </c>
      <c r="B533" s="68" t="s">
        <v>21</v>
      </c>
      <c r="C533" s="68" t="s">
        <v>101</v>
      </c>
      <c r="D533" s="68" t="s">
        <v>102</v>
      </c>
      <c r="E533" s="69">
        <v>922.26</v>
      </c>
      <c r="F533" s="69">
        <v>60.69</v>
      </c>
      <c r="G533" s="8">
        <f t="shared" ref="G533:G552" si="22">E533*F533</f>
        <v>55971.9594</v>
      </c>
      <c r="H533" s="70">
        <v>55971.959000000003</v>
      </c>
      <c r="I533" s="8">
        <v>43000</v>
      </c>
      <c r="J533" s="41">
        <f t="shared" ref="J533:J552" si="23">((H533-I533)/I533)*100</f>
        <v>30.167346511627912</v>
      </c>
    </row>
    <row r="534" spans="1:10" ht="15.75" thickBot="1">
      <c r="A534" s="67">
        <v>2</v>
      </c>
      <c r="B534" s="68" t="s">
        <v>23</v>
      </c>
      <c r="C534" s="68" t="s">
        <v>101</v>
      </c>
      <c r="D534" s="68" t="s">
        <v>103</v>
      </c>
      <c r="E534" s="69">
        <v>690.48500000000001</v>
      </c>
      <c r="F534" s="69">
        <v>109.4</v>
      </c>
      <c r="G534" s="8">
        <f t="shared" si="22"/>
        <v>75539.059000000008</v>
      </c>
      <c r="H534" s="70">
        <v>75539.058999999994</v>
      </c>
      <c r="I534" s="8">
        <v>48000</v>
      </c>
      <c r="J534" s="41">
        <f t="shared" si="23"/>
        <v>57.373039583333316</v>
      </c>
    </row>
    <row r="535" spans="1:10" ht="15.75" thickBot="1">
      <c r="A535" s="67">
        <v>3</v>
      </c>
      <c r="B535" s="68" t="s">
        <v>99</v>
      </c>
      <c r="C535" s="68" t="s">
        <v>104</v>
      </c>
      <c r="D535" s="68" t="s">
        <v>105</v>
      </c>
      <c r="E535" s="69">
        <v>225.56299999999999</v>
      </c>
      <c r="F535" s="69">
        <v>48.21</v>
      </c>
      <c r="G535" s="8">
        <f t="shared" si="22"/>
        <v>10874.392229999999</v>
      </c>
      <c r="H535" s="70">
        <v>10874.166999999999</v>
      </c>
      <c r="I535" s="68">
        <v>10000</v>
      </c>
      <c r="J535" s="41">
        <f t="shared" si="23"/>
        <v>8.7416699999999938</v>
      </c>
    </row>
    <row r="536" spans="1:10" ht="15.75" thickBot="1">
      <c r="A536" s="67">
        <v>4</v>
      </c>
      <c r="B536" s="68" t="s">
        <v>97</v>
      </c>
      <c r="C536" s="68" t="s">
        <v>104</v>
      </c>
      <c r="D536" s="68" t="s">
        <v>106</v>
      </c>
      <c r="E536" s="69">
        <v>136.02600000000001</v>
      </c>
      <c r="F536" s="69">
        <v>77.349999999999994</v>
      </c>
      <c r="G536" s="8">
        <f t="shared" si="22"/>
        <v>10521.6111</v>
      </c>
      <c r="H536" s="70">
        <v>10521.475</v>
      </c>
      <c r="I536" s="68">
        <v>10000</v>
      </c>
      <c r="J536" s="41">
        <f t="shared" si="23"/>
        <v>5.2147500000000031</v>
      </c>
    </row>
    <row r="537" spans="1:10" ht="15.75" thickBot="1">
      <c r="A537" s="67">
        <v>5</v>
      </c>
      <c r="B537" s="68" t="s">
        <v>89</v>
      </c>
      <c r="C537" s="68" t="s">
        <v>107</v>
      </c>
      <c r="D537" s="68" t="s">
        <v>108</v>
      </c>
      <c r="E537" s="69">
        <v>648.95100000000002</v>
      </c>
      <c r="F537" s="69">
        <v>16.100000000000001</v>
      </c>
      <c r="G537" s="8">
        <f t="shared" si="22"/>
        <v>10448.111100000002</v>
      </c>
      <c r="H537" s="70">
        <v>10448.111000000001</v>
      </c>
      <c r="I537" s="68">
        <v>10000</v>
      </c>
      <c r="J537" s="41">
        <f t="shared" si="23"/>
        <v>4.4811100000000073</v>
      </c>
    </row>
    <row r="538" spans="1:10" ht="15.75" thickBot="1">
      <c r="A538" s="67">
        <v>6</v>
      </c>
      <c r="B538" s="68" t="s">
        <v>85</v>
      </c>
      <c r="C538" s="68" t="s">
        <v>107</v>
      </c>
      <c r="D538" s="68" t="s">
        <v>109</v>
      </c>
      <c r="E538" s="69">
        <v>240.715</v>
      </c>
      <c r="F538" s="69">
        <v>48.26</v>
      </c>
      <c r="G538" s="8">
        <f t="shared" si="22"/>
        <v>11616.9059</v>
      </c>
      <c r="H538" s="70">
        <v>11616.906000000001</v>
      </c>
      <c r="I538" s="68">
        <v>11000</v>
      </c>
      <c r="J538" s="41">
        <f t="shared" si="23"/>
        <v>5.6082363636363715</v>
      </c>
    </row>
    <row r="539" spans="1:10" ht="15.75" thickBot="1">
      <c r="A539" s="67">
        <v>7</v>
      </c>
      <c r="B539" s="68" t="s">
        <v>91</v>
      </c>
      <c r="C539" s="68" t="s">
        <v>110</v>
      </c>
      <c r="D539" s="68" t="s">
        <v>111</v>
      </c>
      <c r="E539" s="69">
        <v>236.38800000000001</v>
      </c>
      <c r="F539" s="69">
        <v>45.57</v>
      </c>
      <c r="G539" s="8">
        <f t="shared" si="22"/>
        <v>10772.201160000001</v>
      </c>
      <c r="H539" s="70">
        <v>10771.965</v>
      </c>
      <c r="I539" s="68">
        <v>10000</v>
      </c>
      <c r="J539" s="41">
        <f t="shared" si="23"/>
        <v>7.7196500000000015</v>
      </c>
    </row>
    <row r="540" spans="1:10" ht="15.75" thickBot="1">
      <c r="A540" s="67">
        <v>8</v>
      </c>
      <c r="B540" s="68" t="s">
        <v>87</v>
      </c>
      <c r="C540" s="68" t="s">
        <v>158</v>
      </c>
      <c r="D540" s="68" t="s">
        <v>160</v>
      </c>
      <c r="E540" s="69">
        <v>123.04300000000001</v>
      </c>
      <c r="F540" s="69">
        <v>84.35</v>
      </c>
      <c r="G540" s="8">
        <f t="shared" si="22"/>
        <v>10378.67705</v>
      </c>
      <c r="H540" s="70">
        <v>10378.677</v>
      </c>
      <c r="I540" s="68">
        <v>10000</v>
      </c>
      <c r="J540" s="41">
        <f t="shared" si="23"/>
        <v>3.7867699999999971</v>
      </c>
    </row>
    <row r="541" spans="1:10" ht="15.75" thickBot="1">
      <c r="A541" s="67">
        <v>9</v>
      </c>
      <c r="B541" s="68" t="s">
        <v>41</v>
      </c>
      <c r="C541" s="68" t="s">
        <v>156</v>
      </c>
      <c r="D541" s="68" t="s">
        <v>161</v>
      </c>
      <c r="E541" s="69">
        <v>88.268000000000001</v>
      </c>
      <c r="F541" s="69">
        <v>178.79</v>
      </c>
      <c r="G541" s="8">
        <f t="shared" si="22"/>
        <v>15781.435719999999</v>
      </c>
      <c r="H541" s="70">
        <v>15781.259</v>
      </c>
      <c r="I541" s="68">
        <v>15000</v>
      </c>
      <c r="J541" s="41">
        <f t="shared" si="23"/>
        <v>5.2083933333333334</v>
      </c>
    </row>
    <row r="542" spans="1:10" ht="15.75" thickBot="1">
      <c r="A542" s="67">
        <v>10</v>
      </c>
      <c r="B542" s="68" t="s">
        <v>147</v>
      </c>
      <c r="C542" s="71" t="s">
        <v>157</v>
      </c>
      <c r="D542" s="71" t="s">
        <v>103</v>
      </c>
      <c r="E542" s="69">
        <v>137.75700000000001</v>
      </c>
      <c r="F542" s="69">
        <v>143.84</v>
      </c>
      <c r="G542" s="8">
        <f t="shared" si="22"/>
        <v>19814.96688</v>
      </c>
      <c r="H542" s="70">
        <v>19814.690999999999</v>
      </c>
      <c r="I542" s="88">
        <v>18000</v>
      </c>
      <c r="J542" s="41">
        <f t="shared" si="23"/>
        <v>10.081616666666662</v>
      </c>
    </row>
    <row r="543" spans="1:10" ht="15.75" thickBot="1">
      <c r="A543" s="67">
        <v>11</v>
      </c>
      <c r="B543" s="68" t="s">
        <v>19</v>
      </c>
      <c r="C543" s="68" t="s">
        <v>115</v>
      </c>
      <c r="D543" s="68" t="s">
        <v>116</v>
      </c>
      <c r="E543" s="69">
        <v>563.15</v>
      </c>
      <c r="F543" s="69">
        <v>110.86</v>
      </c>
      <c r="G543" s="8">
        <f t="shared" si="22"/>
        <v>62430.808999999994</v>
      </c>
      <c r="H543" s="70">
        <v>62430.809000000001</v>
      </c>
      <c r="I543" s="8">
        <v>43000</v>
      </c>
      <c r="J543" s="41">
        <f t="shared" si="23"/>
        <v>45.187927906976746</v>
      </c>
    </row>
    <row r="544" spans="1:10" ht="15.75" thickBot="1">
      <c r="A544" s="67">
        <v>12</v>
      </c>
      <c r="B544" s="68" t="s">
        <v>17</v>
      </c>
      <c r="C544" s="68" t="s">
        <v>115</v>
      </c>
      <c r="D544" s="68" t="s">
        <v>117</v>
      </c>
      <c r="E544" s="69">
        <v>702.63800000000003</v>
      </c>
      <c r="F544" s="69">
        <v>89.69</v>
      </c>
      <c r="G544" s="8">
        <f t="shared" si="22"/>
        <v>63019.602220000001</v>
      </c>
      <c r="H544" s="70">
        <v>63019.601999999999</v>
      </c>
      <c r="I544" s="8">
        <v>43000</v>
      </c>
      <c r="J544" s="41">
        <f t="shared" si="23"/>
        <v>46.557213953488372</v>
      </c>
    </row>
    <row r="545" spans="1:10" ht="15.75" thickBot="1">
      <c r="A545" s="67">
        <v>13</v>
      </c>
      <c r="B545" s="68" t="s">
        <v>11</v>
      </c>
      <c r="C545" s="68" t="s">
        <v>159</v>
      </c>
      <c r="D545" s="68" t="s">
        <v>119</v>
      </c>
      <c r="E545" s="69">
        <v>502.64699999999999</v>
      </c>
      <c r="F545" s="69">
        <v>113.74</v>
      </c>
      <c r="G545" s="8">
        <f t="shared" si="22"/>
        <v>57171.069779999998</v>
      </c>
      <c r="H545" s="70">
        <v>57172.578000000001</v>
      </c>
      <c r="I545" s="8">
        <v>45000</v>
      </c>
      <c r="J545" s="41">
        <f t="shared" si="23"/>
        <v>27.050173333333337</v>
      </c>
    </row>
    <row r="546" spans="1:10" ht="15.75" thickBot="1">
      <c r="A546" s="67">
        <v>14</v>
      </c>
      <c r="B546" s="68" t="s">
        <v>40</v>
      </c>
      <c r="C546" s="68" t="s">
        <v>120</v>
      </c>
      <c r="D546" s="68" t="s">
        <v>121</v>
      </c>
      <c r="E546" s="69">
        <v>174.547</v>
      </c>
      <c r="F546" s="69">
        <v>91.1</v>
      </c>
      <c r="G546" s="8">
        <f t="shared" si="22"/>
        <v>15901.231699999998</v>
      </c>
      <c r="H546" s="70">
        <v>15901.581</v>
      </c>
      <c r="I546" s="8">
        <v>15000</v>
      </c>
      <c r="J546" s="41">
        <f t="shared" si="23"/>
        <v>6.0105400000000007</v>
      </c>
    </row>
    <row r="547" spans="1:10" ht="15.75" thickBot="1">
      <c r="A547" s="67">
        <v>15</v>
      </c>
      <c r="B547" s="68" t="s">
        <v>37</v>
      </c>
      <c r="C547" s="68" t="s">
        <v>120</v>
      </c>
      <c r="D547" s="68" t="s">
        <v>122</v>
      </c>
      <c r="E547" s="69">
        <v>180.44300000000001</v>
      </c>
      <c r="F547" s="69">
        <v>175.17</v>
      </c>
      <c r="G547" s="8">
        <f t="shared" si="22"/>
        <v>31608.20031</v>
      </c>
      <c r="H547" s="70">
        <v>31608.2</v>
      </c>
      <c r="I547" s="8">
        <v>23000</v>
      </c>
      <c r="J547" s="41">
        <f t="shared" si="23"/>
        <v>37.426956521739136</v>
      </c>
    </row>
    <row r="548" spans="1:10" ht="15.75" thickBot="1">
      <c r="A548" s="67">
        <v>16</v>
      </c>
      <c r="B548" s="68" t="s">
        <v>42</v>
      </c>
      <c r="C548" s="68" t="s">
        <v>123</v>
      </c>
      <c r="D548" s="68" t="s">
        <v>124</v>
      </c>
      <c r="E548" s="69">
        <v>101.06699999999999</v>
      </c>
      <c r="F548" s="69">
        <v>264.32</v>
      </c>
      <c r="G548" s="8">
        <f t="shared" si="22"/>
        <v>26714.029439999998</v>
      </c>
      <c r="H548" s="70">
        <v>26714.332999999999</v>
      </c>
      <c r="I548" s="68">
        <v>26000</v>
      </c>
      <c r="J548" s="41">
        <f t="shared" si="23"/>
        <v>2.7474346153846105</v>
      </c>
    </row>
    <row r="549" spans="1:10" ht="15.75" thickBot="1">
      <c r="A549" s="67">
        <v>17</v>
      </c>
      <c r="B549" s="68" t="s">
        <v>15</v>
      </c>
      <c r="C549" s="68" t="s">
        <v>165</v>
      </c>
      <c r="D549" s="68" t="s">
        <v>162</v>
      </c>
      <c r="E549" s="69">
        <v>735.08100000000002</v>
      </c>
      <c r="F549" s="69">
        <v>93.42</v>
      </c>
      <c r="G549" s="8">
        <f t="shared" si="22"/>
        <v>68671.267019999999</v>
      </c>
      <c r="H549" s="70">
        <v>68668.327000000005</v>
      </c>
      <c r="I549" s="39">
        <v>49000</v>
      </c>
      <c r="J549" s="41">
        <f t="shared" si="23"/>
        <v>40.139442857142868</v>
      </c>
    </row>
    <row r="550" spans="1:10" ht="15.75" thickBot="1">
      <c r="A550" s="67">
        <v>18</v>
      </c>
      <c r="B550" s="68" t="s">
        <v>13</v>
      </c>
      <c r="C550" s="68" t="s">
        <v>166</v>
      </c>
      <c r="D550" s="68" t="s">
        <v>163</v>
      </c>
      <c r="E550" s="69">
        <v>345.36399999999998</v>
      </c>
      <c r="F550" s="69">
        <v>178</v>
      </c>
      <c r="G550" s="8">
        <f t="shared" si="22"/>
        <v>61474.791999999994</v>
      </c>
      <c r="H550" s="70">
        <v>61473.756000000001</v>
      </c>
      <c r="I550" s="8">
        <v>43000</v>
      </c>
      <c r="J550" s="41">
        <f t="shared" si="23"/>
        <v>42.96222325581396</v>
      </c>
    </row>
    <row r="551" spans="1:10" ht="15.75" thickBot="1">
      <c r="A551" s="67">
        <v>19</v>
      </c>
      <c r="B551" s="68" t="s">
        <v>95</v>
      </c>
      <c r="C551" s="68" t="s">
        <v>128</v>
      </c>
      <c r="D551" s="68" t="s">
        <v>129</v>
      </c>
      <c r="E551" s="69">
        <v>254.75800000000001</v>
      </c>
      <c r="F551" s="69">
        <v>41.93</v>
      </c>
      <c r="G551" s="8">
        <f t="shared" si="22"/>
        <v>10682.00294</v>
      </c>
      <c r="H551" s="70">
        <v>10683.022000000001</v>
      </c>
      <c r="I551" s="69">
        <v>10000</v>
      </c>
      <c r="J551" s="41">
        <f t="shared" si="23"/>
        <v>6.8302200000000095</v>
      </c>
    </row>
    <row r="552" spans="1:10" ht="15.75" thickBot="1">
      <c r="A552" s="72">
        <v>20</v>
      </c>
      <c r="B552" s="68" t="s">
        <v>93</v>
      </c>
      <c r="C552" s="68" t="s">
        <v>167</v>
      </c>
      <c r="D552" s="68" t="s">
        <v>164</v>
      </c>
      <c r="E552" s="68">
        <v>399.99900000000002</v>
      </c>
      <c r="F552" s="68">
        <v>26.87</v>
      </c>
      <c r="G552" s="8">
        <f t="shared" si="22"/>
        <v>10747.97313</v>
      </c>
      <c r="H552" s="87">
        <v>10748.373</v>
      </c>
      <c r="I552" s="69">
        <v>10000</v>
      </c>
      <c r="J552" s="41">
        <f t="shared" si="23"/>
        <v>7.4837299999999951</v>
      </c>
    </row>
    <row r="553" spans="1:10" ht="15.75" thickBot="1">
      <c r="A553" s="72"/>
      <c r="B553" s="68"/>
      <c r="C553" s="68"/>
      <c r="D553" s="68"/>
      <c r="E553" s="68"/>
      <c r="F553" s="68"/>
      <c r="G553" s="8"/>
      <c r="H553" s="68"/>
      <c r="I553" s="68"/>
      <c r="J553" s="68"/>
    </row>
    <row r="554" spans="1:10" ht="15.75" thickBot="1">
      <c r="A554" s="72"/>
      <c r="B554" s="68"/>
      <c r="C554" s="68"/>
      <c r="D554" s="68"/>
      <c r="E554" s="68"/>
      <c r="F554" s="68"/>
      <c r="G554" s="8"/>
      <c r="H554" s="68"/>
      <c r="I554" s="68"/>
      <c r="J554" s="68"/>
    </row>
    <row r="555" spans="1:10" ht="15.75" thickBot="1">
      <c r="A555" s="72"/>
      <c r="B555" s="68"/>
      <c r="C555" s="68"/>
      <c r="D555" s="68"/>
      <c r="E555" s="68"/>
      <c r="F555" s="68"/>
      <c r="G555" s="8"/>
      <c r="H555" s="68"/>
      <c r="I555" s="68"/>
      <c r="J555" s="68"/>
    </row>
    <row r="556" spans="1:10" ht="15.75" thickBot="1">
      <c r="A556" s="72"/>
      <c r="B556" s="68"/>
      <c r="C556" s="68"/>
      <c r="D556" s="68"/>
      <c r="E556" s="68"/>
      <c r="F556" s="68"/>
      <c r="G556" s="8"/>
      <c r="H556" s="68"/>
      <c r="I556" s="68"/>
      <c r="J556" s="68"/>
    </row>
    <row r="557" spans="1:10" ht="15.75" thickBot="1">
      <c r="A557" s="73"/>
      <c r="B557" s="74"/>
      <c r="C557" s="74"/>
      <c r="D557" s="74"/>
      <c r="E557" s="74"/>
      <c r="F557" s="74"/>
      <c r="G557" s="74">
        <f>SUM(G533:G556)</f>
        <v>640140.29708000016</v>
      </c>
      <c r="H557" s="24">
        <f>SUM(H533:H556)</f>
        <v>640138.85</v>
      </c>
      <c r="I557" s="24">
        <f>SUM(I533:I556)</f>
        <v>492000</v>
      </c>
      <c r="J557" s="25">
        <f>((H557-I557)/I557)*100</f>
        <v>30.109522357723574</v>
      </c>
    </row>
    <row r="559" spans="1:10" ht="15.75" thickBot="1"/>
    <row r="560" spans="1:10" ht="15.75" thickBot="1">
      <c r="A560" s="78"/>
      <c r="B560" s="79" t="s">
        <v>175</v>
      </c>
      <c r="C560" s="79" t="s">
        <v>55</v>
      </c>
      <c r="D560" s="79" t="s">
        <v>132</v>
      </c>
      <c r="E560" s="79" t="s">
        <v>56</v>
      </c>
      <c r="F560" s="79" t="s">
        <v>57</v>
      </c>
      <c r="G560" s="79" t="s">
        <v>58</v>
      </c>
      <c r="H560" s="79" t="s">
        <v>59</v>
      </c>
      <c r="I560" s="79" t="s">
        <v>60</v>
      </c>
      <c r="J560" s="79" t="s">
        <v>133</v>
      </c>
    </row>
    <row r="561" spans="1:10" ht="15.75" thickBot="1">
      <c r="A561" s="67">
        <v>1</v>
      </c>
      <c r="B561" s="68" t="s">
        <v>21</v>
      </c>
      <c r="C561" s="68" t="s">
        <v>101</v>
      </c>
      <c r="D561" s="68" t="s">
        <v>102</v>
      </c>
      <c r="E561" s="69">
        <v>939.03800000000001</v>
      </c>
      <c r="F561" s="69">
        <v>61.13</v>
      </c>
      <c r="G561" s="8">
        <f t="shared" ref="G561:G580" si="24">E561*F561</f>
        <v>57403.392940000005</v>
      </c>
      <c r="H561" s="70">
        <v>57403.392999999996</v>
      </c>
      <c r="I561" s="8">
        <v>44000</v>
      </c>
      <c r="J561" s="41">
        <f t="shared" ref="J561:J580" si="25">((H561-I561)/I561)*100</f>
        <v>30.46225681818181</v>
      </c>
    </row>
    <row r="562" spans="1:10" ht="15.75" thickBot="1">
      <c r="A562" s="67">
        <v>2</v>
      </c>
      <c r="B562" s="68" t="s">
        <v>23</v>
      </c>
      <c r="C562" s="68" t="s">
        <v>101</v>
      </c>
      <c r="D562" s="68" t="s">
        <v>103</v>
      </c>
      <c r="E562" s="69">
        <v>700.08900000000006</v>
      </c>
      <c r="F562" s="69">
        <v>106.7</v>
      </c>
      <c r="G562" s="8">
        <f t="shared" si="24"/>
        <v>74699.496300000013</v>
      </c>
      <c r="H562" s="70">
        <v>74699.495999999999</v>
      </c>
      <c r="I562" s="8">
        <v>49000</v>
      </c>
      <c r="J562" s="41">
        <f t="shared" si="25"/>
        <v>52.447951020408155</v>
      </c>
    </row>
    <row r="563" spans="1:10" ht="15.75" thickBot="1">
      <c r="A563" s="67">
        <v>3</v>
      </c>
      <c r="B563" s="68" t="s">
        <v>99</v>
      </c>
      <c r="C563" s="68" t="s">
        <v>104</v>
      </c>
      <c r="D563" s="68" t="s">
        <v>105</v>
      </c>
      <c r="E563" s="69">
        <v>247.38300000000001</v>
      </c>
      <c r="F563" s="69">
        <v>46.32</v>
      </c>
      <c r="G563" s="8">
        <f t="shared" si="24"/>
        <v>11458.780560000001</v>
      </c>
      <c r="H563" s="70">
        <v>11459.275</v>
      </c>
      <c r="I563" s="68">
        <v>11000</v>
      </c>
      <c r="J563" s="41">
        <f t="shared" si="25"/>
        <v>4.1752272727272697</v>
      </c>
    </row>
    <row r="564" spans="1:10" ht="15.75" thickBot="1">
      <c r="A564" s="67">
        <v>4</v>
      </c>
      <c r="B564" s="68" t="s">
        <v>97</v>
      </c>
      <c r="C564" s="68" t="s">
        <v>104</v>
      </c>
      <c r="D564" s="68" t="s">
        <v>106</v>
      </c>
      <c r="E564" s="69">
        <v>149.20400000000001</v>
      </c>
      <c r="F564" s="69">
        <v>77.739999999999995</v>
      </c>
      <c r="G564" s="8">
        <f t="shared" si="24"/>
        <v>11599.11896</v>
      </c>
      <c r="H564" s="70">
        <v>11599.416999999999</v>
      </c>
      <c r="I564" s="68">
        <v>11000</v>
      </c>
      <c r="J564" s="41">
        <f t="shared" si="25"/>
        <v>5.4492454545454496</v>
      </c>
    </row>
    <row r="565" spans="1:10" ht="15.75" thickBot="1">
      <c r="A565" s="67">
        <v>5</v>
      </c>
      <c r="B565" s="68" t="s">
        <v>89</v>
      </c>
      <c r="C565" s="68" t="s">
        <v>107</v>
      </c>
      <c r="D565" s="68" t="s">
        <v>108</v>
      </c>
      <c r="E565" s="69">
        <v>713.17399999999998</v>
      </c>
      <c r="F565" s="69">
        <v>15.96</v>
      </c>
      <c r="G565" s="8">
        <f t="shared" si="24"/>
        <v>11382.25704</v>
      </c>
      <c r="H565" s="70">
        <v>11382.257</v>
      </c>
      <c r="I565" s="68">
        <v>11000</v>
      </c>
      <c r="J565" s="41">
        <f t="shared" si="25"/>
        <v>3.4750636363636329</v>
      </c>
    </row>
    <row r="566" spans="1:10" ht="15.75" thickBot="1">
      <c r="A566" s="67">
        <v>6</v>
      </c>
      <c r="B566" s="68" t="s">
        <v>85</v>
      </c>
      <c r="C566" s="68" t="s">
        <v>107</v>
      </c>
      <c r="D566" s="68" t="s">
        <v>109</v>
      </c>
      <c r="E566" s="69">
        <v>262.577</v>
      </c>
      <c r="F566" s="69">
        <v>45.96</v>
      </c>
      <c r="G566" s="8">
        <f t="shared" si="24"/>
        <v>12068.038920000001</v>
      </c>
      <c r="H566" s="70">
        <v>12068.039000000001</v>
      </c>
      <c r="I566" s="68">
        <v>12000</v>
      </c>
      <c r="J566" s="41">
        <f t="shared" si="25"/>
        <v>0.56699166666667222</v>
      </c>
    </row>
    <row r="567" spans="1:10" ht="15.75" thickBot="1">
      <c r="A567" s="67">
        <v>7</v>
      </c>
      <c r="B567" s="68" t="s">
        <v>91</v>
      </c>
      <c r="C567" s="68" t="s">
        <v>110</v>
      </c>
      <c r="D567" s="68" t="s">
        <v>111</v>
      </c>
      <c r="E567" s="69">
        <v>259.61</v>
      </c>
      <c r="F567" s="69">
        <v>44.05</v>
      </c>
      <c r="G567" s="8">
        <f t="shared" si="24"/>
        <v>11435.8205</v>
      </c>
      <c r="H567" s="70">
        <v>11434.781999999999</v>
      </c>
      <c r="I567" s="68">
        <v>11000</v>
      </c>
      <c r="J567" s="41">
        <f t="shared" si="25"/>
        <v>3.9525636363636298</v>
      </c>
    </row>
    <row r="568" spans="1:10" ht="15.75" thickBot="1">
      <c r="A568" s="67">
        <v>8</v>
      </c>
      <c r="B568" s="68" t="s">
        <v>87</v>
      </c>
      <c r="C568" s="68" t="s">
        <v>158</v>
      </c>
      <c r="D568" s="68" t="s">
        <v>160</v>
      </c>
      <c r="E568" s="69">
        <v>135.251</v>
      </c>
      <c r="F568" s="69">
        <v>83.88</v>
      </c>
      <c r="G568" s="8">
        <f t="shared" si="24"/>
        <v>11344.853880000001</v>
      </c>
      <c r="H568" s="70">
        <v>11344.853999999999</v>
      </c>
      <c r="I568" s="68">
        <v>11000</v>
      </c>
      <c r="J568" s="41">
        <f t="shared" si="25"/>
        <v>3.1350363636363578</v>
      </c>
    </row>
    <row r="569" spans="1:10" ht="15.75" thickBot="1">
      <c r="A569" s="67">
        <v>9</v>
      </c>
      <c r="B569" s="68" t="s">
        <v>41</v>
      </c>
      <c r="C569" s="68" t="s">
        <v>156</v>
      </c>
      <c r="D569" s="68" t="s">
        <v>161</v>
      </c>
      <c r="E569" s="69">
        <v>94.283000000000001</v>
      </c>
      <c r="F569" s="69">
        <v>170.23</v>
      </c>
      <c r="G569" s="8">
        <f t="shared" si="24"/>
        <v>16049.79509</v>
      </c>
      <c r="H569" s="70">
        <v>16049.324000000001</v>
      </c>
      <c r="I569" s="68">
        <v>16000</v>
      </c>
      <c r="J569" s="41">
        <f t="shared" si="25"/>
        <v>0.3082750000000033</v>
      </c>
    </row>
    <row r="570" spans="1:10" ht="15.75" thickBot="1">
      <c r="A570" s="67">
        <v>10</v>
      </c>
      <c r="B570" s="68" t="s">
        <v>147</v>
      </c>
      <c r="C570" s="71" t="s">
        <v>157</v>
      </c>
      <c r="D570" s="71" t="s">
        <v>103</v>
      </c>
      <c r="E570" s="69">
        <v>152.209</v>
      </c>
      <c r="F570" s="69">
        <v>142.69</v>
      </c>
      <c r="G570" s="8">
        <f t="shared" si="24"/>
        <v>21718.702209999999</v>
      </c>
      <c r="H570" s="70">
        <v>21718.853999999999</v>
      </c>
      <c r="I570" s="88">
        <v>20000</v>
      </c>
      <c r="J570" s="41">
        <f t="shared" si="25"/>
        <v>8.5942699999999963</v>
      </c>
    </row>
    <row r="571" spans="1:10" ht="15.75" thickBot="1">
      <c r="A571" s="67">
        <v>11</v>
      </c>
      <c r="B571" s="68" t="s">
        <v>19</v>
      </c>
      <c r="C571" s="68" t="s">
        <v>115</v>
      </c>
      <c r="D571" s="68" t="s">
        <v>116</v>
      </c>
      <c r="E571" s="69">
        <v>572.33199999999999</v>
      </c>
      <c r="F571" s="69">
        <v>111.41</v>
      </c>
      <c r="G571" s="8">
        <f t="shared" si="24"/>
        <v>63763.508119999999</v>
      </c>
      <c r="H571" s="70">
        <v>63763.508000000002</v>
      </c>
      <c r="I571" s="8">
        <v>44000</v>
      </c>
      <c r="J571" s="41">
        <f t="shared" si="25"/>
        <v>44.917063636363643</v>
      </c>
    </row>
    <row r="572" spans="1:10" ht="15.75" thickBot="1">
      <c r="A572" s="67">
        <v>12</v>
      </c>
      <c r="B572" s="68" t="s">
        <v>17</v>
      </c>
      <c r="C572" s="68" t="s">
        <v>115</v>
      </c>
      <c r="D572" s="68" t="s">
        <v>117</v>
      </c>
      <c r="E572" s="69">
        <v>714.23599999999999</v>
      </c>
      <c r="F572" s="69">
        <v>88.56</v>
      </c>
      <c r="G572" s="8">
        <f t="shared" si="24"/>
        <v>63252.740160000001</v>
      </c>
      <c r="H572" s="70">
        <v>63252.74</v>
      </c>
      <c r="I572" s="8">
        <v>44000</v>
      </c>
      <c r="J572" s="41">
        <f t="shared" si="25"/>
        <v>43.756227272727266</v>
      </c>
    </row>
    <row r="573" spans="1:10" ht="15.75" thickBot="1">
      <c r="A573" s="67">
        <v>13</v>
      </c>
      <c r="B573" s="68" t="s">
        <v>11</v>
      </c>
      <c r="C573" s="68" t="s">
        <v>159</v>
      </c>
      <c r="D573" s="68" t="s">
        <v>119</v>
      </c>
      <c r="E573" s="69">
        <v>511.654</v>
      </c>
      <c r="F573" s="69">
        <v>113.66</v>
      </c>
      <c r="G573" s="8">
        <f t="shared" si="24"/>
        <v>58154.593639999999</v>
      </c>
      <c r="H573" s="70">
        <v>58152.035000000003</v>
      </c>
      <c r="I573" s="8">
        <v>46000</v>
      </c>
      <c r="J573" s="41">
        <f t="shared" si="25"/>
        <v>26.417467391304356</v>
      </c>
    </row>
    <row r="574" spans="1:10" ht="15.75" thickBot="1">
      <c r="A574" s="67">
        <v>14</v>
      </c>
      <c r="B574" s="68" t="s">
        <v>40</v>
      </c>
      <c r="C574" s="68" t="s">
        <v>120</v>
      </c>
      <c r="D574" s="68" t="s">
        <v>121</v>
      </c>
      <c r="E574" s="69">
        <v>185.71799999999999</v>
      </c>
      <c r="F574" s="69">
        <v>91.95</v>
      </c>
      <c r="G574" s="8">
        <f t="shared" si="24"/>
        <v>17076.770099999998</v>
      </c>
      <c r="H574" s="70">
        <v>17077.142</v>
      </c>
      <c r="I574" s="8">
        <v>16000</v>
      </c>
      <c r="J574" s="41">
        <f t="shared" si="25"/>
        <v>6.7321374999999986</v>
      </c>
    </row>
    <row r="575" spans="1:10" ht="15.75" thickBot="1">
      <c r="A575" s="67">
        <v>15</v>
      </c>
      <c r="B575" s="68" t="s">
        <v>37</v>
      </c>
      <c r="C575" s="68" t="s">
        <v>120</v>
      </c>
      <c r="D575" s="68" t="s">
        <v>122</v>
      </c>
      <c r="E575" s="69">
        <v>186.482</v>
      </c>
      <c r="F575" s="69">
        <v>169.59</v>
      </c>
      <c r="G575" s="8">
        <f t="shared" si="24"/>
        <v>31625.482380000001</v>
      </c>
      <c r="H575" s="70">
        <v>31624.736000000001</v>
      </c>
      <c r="I575" s="8">
        <v>24000</v>
      </c>
      <c r="J575" s="41">
        <f t="shared" si="25"/>
        <v>31.769733333333338</v>
      </c>
    </row>
    <row r="576" spans="1:10" ht="15.75" thickBot="1">
      <c r="A576" s="67">
        <v>16</v>
      </c>
      <c r="B576" s="68" t="s">
        <v>42</v>
      </c>
      <c r="C576" s="68" t="s">
        <v>123</v>
      </c>
      <c r="D576" s="68" t="s">
        <v>124</v>
      </c>
      <c r="E576" s="69">
        <v>105.02800000000001</v>
      </c>
      <c r="F576" s="69">
        <v>255.13</v>
      </c>
      <c r="G576" s="8">
        <f t="shared" si="24"/>
        <v>26795.79364</v>
      </c>
      <c r="H576" s="70">
        <v>26796.004000000001</v>
      </c>
      <c r="I576" s="68">
        <v>27000</v>
      </c>
      <c r="J576" s="41">
        <f t="shared" si="25"/>
        <v>-0.75554074074073774</v>
      </c>
    </row>
    <row r="577" spans="1:10" ht="15.75" thickBot="1">
      <c r="A577" s="67">
        <v>17</v>
      </c>
      <c r="B577" s="68" t="s">
        <v>15</v>
      </c>
      <c r="C577" s="68" t="s">
        <v>165</v>
      </c>
      <c r="D577" s="68" t="s">
        <v>162</v>
      </c>
      <c r="E577" s="69">
        <v>746.09100000000001</v>
      </c>
      <c r="F577" s="69">
        <v>92.8</v>
      </c>
      <c r="G577" s="8">
        <f t="shared" si="24"/>
        <v>69237.2448</v>
      </c>
      <c r="H577" s="70">
        <v>69238.736999999994</v>
      </c>
      <c r="I577" s="39">
        <v>50000</v>
      </c>
      <c r="J577" s="41">
        <f t="shared" si="25"/>
        <v>38.477473999999987</v>
      </c>
    </row>
    <row r="578" spans="1:10" ht="15.75" thickBot="1">
      <c r="A578" s="67">
        <v>18</v>
      </c>
      <c r="B578" s="68" t="s">
        <v>13</v>
      </c>
      <c r="C578" s="68" t="s">
        <v>166</v>
      </c>
      <c r="D578" s="68" t="s">
        <v>163</v>
      </c>
      <c r="E578" s="69">
        <v>351.291</v>
      </c>
      <c r="F578" s="69">
        <v>173.63</v>
      </c>
      <c r="G578" s="8">
        <f t="shared" si="24"/>
        <v>60994.656329999998</v>
      </c>
      <c r="H578" s="70">
        <v>60995.71</v>
      </c>
      <c r="I578" s="8">
        <v>44000</v>
      </c>
      <c r="J578" s="41">
        <f t="shared" si="25"/>
        <v>38.626613636363629</v>
      </c>
    </row>
    <row r="579" spans="1:10" ht="15.75" thickBot="1">
      <c r="A579" s="67">
        <v>19</v>
      </c>
      <c r="B579" s="68" t="s">
        <v>95</v>
      </c>
      <c r="C579" s="68" t="s">
        <v>128</v>
      </c>
      <c r="D579" s="68" t="s">
        <v>129</v>
      </c>
      <c r="E579" s="69">
        <v>279.94600000000003</v>
      </c>
      <c r="F579" s="69">
        <v>40.18</v>
      </c>
      <c r="G579" s="8">
        <f t="shared" si="24"/>
        <v>11248.230280000002</v>
      </c>
      <c r="H579" s="70">
        <v>11249.35</v>
      </c>
      <c r="I579" s="69">
        <v>11000</v>
      </c>
      <c r="J579" s="41">
        <f t="shared" si="25"/>
        <v>2.2668181818181852</v>
      </c>
    </row>
    <row r="580" spans="1:10" ht="15.75" thickBot="1">
      <c r="A580" s="72">
        <v>20</v>
      </c>
      <c r="B580" s="68" t="s">
        <v>93</v>
      </c>
      <c r="C580" s="68" t="s">
        <v>167</v>
      </c>
      <c r="D580" s="68" t="s">
        <v>164</v>
      </c>
      <c r="E580" s="68">
        <v>438.90699999999998</v>
      </c>
      <c r="F580" s="68">
        <v>26.13</v>
      </c>
      <c r="G580" s="8">
        <f t="shared" si="24"/>
        <v>11468.63991</v>
      </c>
      <c r="H580" s="87">
        <v>11467.323</v>
      </c>
      <c r="I580" s="69">
        <v>11000</v>
      </c>
      <c r="J580" s="41">
        <f t="shared" si="25"/>
        <v>4.2483909090909124</v>
      </c>
    </row>
    <row r="581" spans="1:10" ht="15.75" thickBot="1">
      <c r="A581" s="72"/>
      <c r="B581" s="68"/>
      <c r="C581" s="68"/>
      <c r="D581" s="68"/>
      <c r="E581" s="68"/>
      <c r="F581" s="68"/>
      <c r="G581" s="8"/>
      <c r="H581" s="68"/>
      <c r="I581" s="68"/>
      <c r="J581" s="68"/>
    </row>
    <row r="582" spans="1:10" ht="15.75" thickBot="1">
      <c r="A582" s="72"/>
      <c r="B582" s="68"/>
      <c r="C582" s="68"/>
      <c r="D582" s="68"/>
      <c r="E582" s="68"/>
      <c r="F582" s="68"/>
      <c r="G582" s="8"/>
      <c r="H582" s="68"/>
      <c r="I582" s="68"/>
      <c r="J582" s="68"/>
    </row>
    <row r="583" spans="1:10" ht="15.75" thickBot="1">
      <c r="A583" s="72"/>
      <c r="B583" s="68"/>
      <c r="C583" s="68"/>
      <c r="D583" s="68"/>
      <c r="E583" s="68"/>
      <c r="F583" s="68"/>
      <c r="G583" s="8"/>
      <c r="H583" s="68"/>
      <c r="I583" s="68"/>
      <c r="J583" s="68"/>
    </row>
    <row r="584" spans="1:10" ht="15.75" thickBot="1">
      <c r="A584" s="72"/>
      <c r="B584" s="68"/>
      <c r="C584" s="68"/>
      <c r="D584" s="68"/>
      <c r="E584" s="68"/>
      <c r="F584" s="68"/>
      <c r="G584" s="8"/>
      <c r="H584" s="68"/>
      <c r="I584" s="68"/>
      <c r="J584" s="68"/>
    </row>
    <row r="585" spans="1:10" ht="15.75" thickBot="1">
      <c r="A585" s="73"/>
      <c r="B585" s="74"/>
      <c r="C585" s="74"/>
      <c r="D585" s="74"/>
      <c r="E585" s="74"/>
      <c r="F585" s="74"/>
      <c r="G585" s="74">
        <f>SUM(G561:G584)</f>
        <v>652777.91576000012</v>
      </c>
      <c r="H585" s="24">
        <f>SUM(H561:H584)</f>
        <v>652776.97599999979</v>
      </c>
      <c r="I585" s="24">
        <f>SUM(I561:I584)</f>
        <v>513000</v>
      </c>
      <c r="J585" s="25">
        <f>((H585-I585)/I585)*100</f>
        <v>27.24697387914226</v>
      </c>
    </row>
    <row r="587" spans="1:10" ht="15.75" thickBot="1"/>
    <row r="588" spans="1:10" ht="15.75" thickBot="1">
      <c r="A588" s="78"/>
      <c r="B588" s="79" t="s">
        <v>176</v>
      </c>
      <c r="C588" s="79" t="s">
        <v>55</v>
      </c>
      <c r="D588" s="79" t="s">
        <v>132</v>
      </c>
      <c r="E588" s="79" t="s">
        <v>56</v>
      </c>
      <c r="F588" s="79" t="s">
        <v>57</v>
      </c>
      <c r="G588" s="79" t="s">
        <v>58</v>
      </c>
      <c r="H588" s="79" t="s">
        <v>59</v>
      </c>
      <c r="I588" s="79" t="s">
        <v>60</v>
      </c>
      <c r="J588" s="79" t="s">
        <v>133</v>
      </c>
    </row>
    <row r="589" spans="1:10" ht="15.75" thickBot="1">
      <c r="A589" s="67">
        <v>1</v>
      </c>
      <c r="B589" s="68" t="s">
        <v>21</v>
      </c>
      <c r="C589" s="68" t="s">
        <v>101</v>
      </c>
      <c r="D589" s="68" t="s">
        <v>102</v>
      </c>
      <c r="E589" s="69">
        <v>971.81</v>
      </c>
      <c r="F589" s="69">
        <v>61.57</v>
      </c>
      <c r="G589" s="8">
        <f t="shared" ref="G589:G608" si="26">E589*F589</f>
        <v>59834.341699999997</v>
      </c>
      <c r="H589" s="70">
        <v>59834.34</v>
      </c>
      <c r="I589" s="8">
        <v>46000</v>
      </c>
      <c r="J589" s="41">
        <f t="shared" ref="J589:J608" si="27">((H589-I589)/I589)*100</f>
        <v>30.074652173913037</v>
      </c>
    </row>
    <row r="590" spans="1:10" ht="15.75" thickBot="1">
      <c r="A590" s="67">
        <v>2</v>
      </c>
      <c r="B590" s="68" t="s">
        <v>23</v>
      </c>
      <c r="C590" s="68" t="s">
        <v>101</v>
      </c>
      <c r="D590" s="68" t="s">
        <v>103</v>
      </c>
      <c r="E590" s="69">
        <v>718.89800000000002</v>
      </c>
      <c r="F590" s="69">
        <v>105.9</v>
      </c>
      <c r="G590" s="8">
        <f t="shared" si="26"/>
        <v>76131.298200000005</v>
      </c>
      <c r="H590" s="70">
        <v>76131.3</v>
      </c>
      <c r="I590" s="8">
        <v>51000</v>
      </c>
      <c r="J590" s="41">
        <f t="shared" si="27"/>
        <v>49.277058823529416</v>
      </c>
    </row>
    <row r="591" spans="1:10" ht="15.75" thickBot="1">
      <c r="A591" s="67">
        <v>3</v>
      </c>
      <c r="B591" s="68" t="s">
        <v>99</v>
      </c>
      <c r="C591" s="68" t="s">
        <v>104</v>
      </c>
      <c r="D591" s="68" t="s">
        <v>105</v>
      </c>
      <c r="E591" s="69">
        <v>290.48399999999998</v>
      </c>
      <c r="F591" s="69">
        <v>46.79</v>
      </c>
      <c r="G591" s="8">
        <f t="shared" si="26"/>
        <v>13591.746359999999</v>
      </c>
      <c r="H591" s="70">
        <v>13592.04</v>
      </c>
      <c r="I591" s="68">
        <v>13000</v>
      </c>
      <c r="J591" s="41">
        <f t="shared" si="27"/>
        <v>4.5541538461538531</v>
      </c>
    </row>
    <row r="592" spans="1:10" ht="15.75" thickBot="1">
      <c r="A592" s="67">
        <v>4</v>
      </c>
      <c r="B592" s="68" t="s">
        <v>97</v>
      </c>
      <c r="C592" s="68" t="s">
        <v>104</v>
      </c>
      <c r="D592" s="68" t="s">
        <v>106</v>
      </c>
      <c r="E592" s="69">
        <v>175.148</v>
      </c>
      <c r="F592" s="69">
        <v>78.69</v>
      </c>
      <c r="G592" s="8">
        <f t="shared" si="26"/>
        <v>13782.396119999999</v>
      </c>
      <c r="H592" s="70">
        <v>13781.52</v>
      </c>
      <c r="I592" s="68">
        <v>13000</v>
      </c>
      <c r="J592" s="41">
        <f t="shared" si="27"/>
        <v>6.0116923076923108</v>
      </c>
    </row>
    <row r="593" spans="1:10" ht="15.75" thickBot="1">
      <c r="A593" s="67">
        <v>5</v>
      </c>
      <c r="B593" s="68" t="s">
        <v>89</v>
      </c>
      <c r="C593" s="68" t="s">
        <v>107</v>
      </c>
      <c r="D593" s="68" t="s">
        <v>108</v>
      </c>
      <c r="E593" s="69">
        <v>838.49400000000003</v>
      </c>
      <c r="F593" s="69">
        <v>16.239999999999998</v>
      </c>
      <c r="G593" s="8">
        <f t="shared" si="26"/>
        <v>13617.142559999998</v>
      </c>
      <c r="H593" s="70">
        <v>13617.14</v>
      </c>
      <c r="I593" s="68">
        <v>13000</v>
      </c>
      <c r="J593" s="41">
        <f t="shared" si="27"/>
        <v>4.7472307692307645</v>
      </c>
    </row>
    <row r="594" spans="1:10" ht="15.75" thickBot="1">
      <c r="A594" s="67">
        <v>6</v>
      </c>
      <c r="B594" s="68" t="s">
        <v>85</v>
      </c>
      <c r="C594" s="68" t="s">
        <v>107</v>
      </c>
      <c r="D594" s="68" t="s">
        <v>109</v>
      </c>
      <c r="E594" s="69">
        <v>305.75700000000001</v>
      </c>
      <c r="F594" s="69">
        <v>46.27</v>
      </c>
      <c r="G594" s="8">
        <f t="shared" si="26"/>
        <v>14147.376390000001</v>
      </c>
      <c r="H594" s="70">
        <v>14147.38</v>
      </c>
      <c r="I594" s="68">
        <v>14000</v>
      </c>
      <c r="J594" s="41">
        <f t="shared" si="27"/>
        <v>1.0527142857142799</v>
      </c>
    </row>
    <row r="595" spans="1:10" ht="15.75" thickBot="1">
      <c r="A595" s="67">
        <v>7</v>
      </c>
      <c r="B595" s="68" t="s">
        <v>91</v>
      </c>
      <c r="C595" s="68" t="s">
        <v>110</v>
      </c>
      <c r="D595" s="68" t="s">
        <v>111</v>
      </c>
      <c r="E595" s="69">
        <v>305.32100000000003</v>
      </c>
      <c r="F595" s="69">
        <v>43.8</v>
      </c>
      <c r="G595" s="8">
        <f t="shared" si="26"/>
        <v>13373.059800000001</v>
      </c>
      <c r="H595" s="70">
        <v>13374.28</v>
      </c>
      <c r="I595" s="68">
        <v>13000</v>
      </c>
      <c r="J595" s="41">
        <f t="shared" si="27"/>
        <v>2.8790769230769278</v>
      </c>
    </row>
    <row r="596" spans="1:10" ht="15.75" thickBot="1">
      <c r="A596" s="67">
        <v>8</v>
      </c>
      <c r="B596" s="68" t="s">
        <v>87</v>
      </c>
      <c r="C596" s="68" t="s">
        <v>158</v>
      </c>
      <c r="D596" s="68" t="s">
        <v>160</v>
      </c>
      <c r="E596" s="69">
        <v>159.16900000000001</v>
      </c>
      <c r="F596" s="69">
        <v>84.98</v>
      </c>
      <c r="G596" s="8">
        <f t="shared" si="26"/>
        <v>13526.181620000001</v>
      </c>
      <c r="H596" s="70">
        <v>13526.18</v>
      </c>
      <c r="I596" s="68">
        <v>13000</v>
      </c>
      <c r="J596" s="41">
        <f t="shared" si="27"/>
        <v>4.0475384615384637</v>
      </c>
    </row>
    <row r="597" spans="1:10" ht="15.75" thickBot="1">
      <c r="A597" s="67">
        <v>9</v>
      </c>
      <c r="B597" s="68" t="s">
        <v>41</v>
      </c>
      <c r="C597" s="68" t="s">
        <v>156</v>
      </c>
      <c r="D597" s="68" t="s">
        <v>161</v>
      </c>
      <c r="E597" s="69">
        <v>106.13800000000001</v>
      </c>
      <c r="F597" s="69">
        <v>167.12</v>
      </c>
      <c r="G597" s="8">
        <f t="shared" si="26"/>
        <v>17737.78256</v>
      </c>
      <c r="H597" s="70">
        <v>17738.099999999999</v>
      </c>
      <c r="I597" s="68">
        <v>18000</v>
      </c>
      <c r="J597" s="41">
        <f t="shared" si="27"/>
        <v>-1.4550000000000081</v>
      </c>
    </row>
    <row r="598" spans="1:10" ht="15.75" thickBot="1">
      <c r="A598" s="67">
        <v>10</v>
      </c>
      <c r="B598" s="68" t="s">
        <v>147</v>
      </c>
      <c r="C598" s="71" t="s">
        <v>157</v>
      </c>
      <c r="D598" s="71" t="s">
        <v>103</v>
      </c>
      <c r="E598" s="69">
        <v>180.499</v>
      </c>
      <c r="F598" s="69">
        <v>141.32</v>
      </c>
      <c r="G598" s="8">
        <f t="shared" si="26"/>
        <v>25508.11868</v>
      </c>
      <c r="H598" s="70">
        <v>25508.3</v>
      </c>
      <c r="I598" s="88">
        <v>24000</v>
      </c>
      <c r="J598" s="41">
        <f t="shared" si="27"/>
        <v>6.2845833333333312</v>
      </c>
    </row>
    <row r="599" spans="1:10" ht="15.75" thickBot="1">
      <c r="A599" s="67">
        <v>11</v>
      </c>
      <c r="B599" s="68" t="s">
        <v>19</v>
      </c>
      <c r="C599" s="68" t="s">
        <v>115</v>
      </c>
      <c r="D599" s="68" t="s">
        <v>116</v>
      </c>
      <c r="E599" s="69">
        <v>590.31399999999996</v>
      </c>
      <c r="F599" s="69">
        <v>112.05</v>
      </c>
      <c r="G599" s="8">
        <f t="shared" si="26"/>
        <v>66144.683699999994</v>
      </c>
      <c r="H599" s="70">
        <v>66144.679999999993</v>
      </c>
      <c r="I599" s="8">
        <v>46000</v>
      </c>
      <c r="J599" s="41">
        <f t="shared" si="27"/>
        <v>43.792782608695632</v>
      </c>
    </row>
    <row r="600" spans="1:10" ht="15.75" thickBot="1">
      <c r="A600" s="67">
        <v>12</v>
      </c>
      <c r="B600" s="68" t="s">
        <v>17</v>
      </c>
      <c r="C600" s="68" t="s">
        <v>115</v>
      </c>
      <c r="D600" s="68" t="s">
        <v>117</v>
      </c>
      <c r="E600" s="69">
        <v>736.96400000000006</v>
      </c>
      <c r="F600" s="69">
        <v>86.98</v>
      </c>
      <c r="G600" s="8">
        <f t="shared" si="26"/>
        <v>64101.128720000008</v>
      </c>
      <c r="H600" s="70">
        <v>64101.13</v>
      </c>
      <c r="I600" s="8">
        <v>46000</v>
      </c>
      <c r="J600" s="41">
        <f t="shared" si="27"/>
        <v>39.35028260869565</v>
      </c>
    </row>
    <row r="601" spans="1:10" ht="15.75" thickBot="1">
      <c r="A601" s="67">
        <v>13</v>
      </c>
      <c r="B601" s="68" t="s">
        <v>11</v>
      </c>
      <c r="C601" s="68" t="s">
        <v>159</v>
      </c>
      <c r="D601" s="68" t="s">
        <v>119</v>
      </c>
      <c r="E601" s="69">
        <v>529.36699999999996</v>
      </c>
      <c r="F601" s="69">
        <v>114.18</v>
      </c>
      <c r="G601" s="8">
        <f t="shared" si="26"/>
        <v>60443.124060000002</v>
      </c>
      <c r="H601" s="70">
        <v>60442.59</v>
      </c>
      <c r="I601" s="8">
        <v>48000</v>
      </c>
      <c r="J601" s="41">
        <f t="shared" si="27"/>
        <v>25.922062499999992</v>
      </c>
    </row>
    <row r="602" spans="1:10" ht="15.75" thickBot="1">
      <c r="A602" s="67">
        <v>14</v>
      </c>
      <c r="B602" s="68" t="s">
        <v>40</v>
      </c>
      <c r="C602" s="68" t="s">
        <v>120</v>
      </c>
      <c r="D602" s="68" t="s">
        <v>121</v>
      </c>
      <c r="E602" s="69">
        <v>207.48</v>
      </c>
      <c r="F602" s="69">
        <v>92.4</v>
      </c>
      <c r="G602" s="8">
        <f t="shared" si="26"/>
        <v>19171.152000000002</v>
      </c>
      <c r="H602" s="70">
        <v>19170.32</v>
      </c>
      <c r="I602" s="8">
        <v>18000</v>
      </c>
      <c r="J602" s="41">
        <f t="shared" si="27"/>
        <v>6.5017777777777761</v>
      </c>
    </row>
    <row r="603" spans="1:10" ht="15.75" thickBot="1">
      <c r="A603" s="67">
        <v>15</v>
      </c>
      <c r="B603" s="68" t="s">
        <v>37</v>
      </c>
      <c r="C603" s="68" t="s">
        <v>120</v>
      </c>
      <c r="D603" s="68" t="s">
        <v>122</v>
      </c>
      <c r="E603" s="69">
        <v>198.315</v>
      </c>
      <c r="F603" s="69">
        <v>168.2</v>
      </c>
      <c r="G603" s="8">
        <f t="shared" si="26"/>
        <v>33356.582999999999</v>
      </c>
      <c r="H603" s="70">
        <v>33357.379999999997</v>
      </c>
      <c r="I603" s="8">
        <v>26000</v>
      </c>
      <c r="J603" s="41">
        <f t="shared" si="27"/>
        <v>28.297615384615376</v>
      </c>
    </row>
    <row r="604" spans="1:10" ht="15.75" thickBot="1">
      <c r="A604" s="67">
        <v>16</v>
      </c>
      <c r="B604" s="68" t="s">
        <v>42</v>
      </c>
      <c r="C604" s="68" t="s">
        <v>123</v>
      </c>
      <c r="D604" s="68" t="s">
        <v>124</v>
      </c>
      <c r="E604" s="69">
        <v>112.803</v>
      </c>
      <c r="F604" s="69">
        <v>257.79000000000002</v>
      </c>
      <c r="G604" s="8">
        <f t="shared" si="26"/>
        <v>29079.485370000002</v>
      </c>
      <c r="H604" s="70">
        <v>29078.92</v>
      </c>
      <c r="I604" s="68">
        <v>29000</v>
      </c>
      <c r="J604" s="41">
        <f t="shared" si="27"/>
        <v>0.27213793103447675</v>
      </c>
    </row>
    <row r="605" spans="1:10" ht="15.75" thickBot="1">
      <c r="A605" s="67">
        <v>17</v>
      </c>
      <c r="B605" s="68" t="s">
        <v>15</v>
      </c>
      <c r="C605" s="68" t="s">
        <v>165</v>
      </c>
      <c r="D605" s="68" t="s">
        <v>162</v>
      </c>
      <c r="E605" s="69">
        <v>767.62800000000004</v>
      </c>
      <c r="F605" s="69">
        <v>93.41</v>
      </c>
      <c r="G605" s="8">
        <f t="shared" si="26"/>
        <v>71704.131479999996</v>
      </c>
      <c r="H605" s="70">
        <v>71707.199999999997</v>
      </c>
      <c r="I605" s="39">
        <v>52000</v>
      </c>
      <c r="J605" s="41">
        <f t="shared" si="27"/>
        <v>37.898461538461532</v>
      </c>
    </row>
    <row r="606" spans="1:10" ht="15.75" thickBot="1">
      <c r="A606" s="67">
        <v>18</v>
      </c>
      <c r="B606" s="68" t="s">
        <v>13</v>
      </c>
      <c r="C606" s="68" t="s">
        <v>166</v>
      </c>
      <c r="D606" s="68" t="s">
        <v>163</v>
      </c>
      <c r="E606" s="69">
        <v>362.94299999999998</v>
      </c>
      <c r="F606" s="69">
        <v>169.8</v>
      </c>
      <c r="G606" s="8">
        <f t="shared" si="26"/>
        <v>61627.721400000002</v>
      </c>
      <c r="H606" s="70">
        <v>61626.63</v>
      </c>
      <c r="I606" s="8">
        <v>46000</v>
      </c>
      <c r="J606" s="41">
        <f t="shared" si="27"/>
        <v>33.970934782608694</v>
      </c>
    </row>
    <row r="607" spans="1:10" ht="15.75" thickBot="1">
      <c r="A607" s="67">
        <v>19</v>
      </c>
      <c r="B607" s="68" t="s">
        <v>95</v>
      </c>
      <c r="C607" s="68" t="s">
        <v>128</v>
      </c>
      <c r="D607" s="68" t="s">
        <v>129</v>
      </c>
      <c r="E607" s="69">
        <v>330.08199999999999</v>
      </c>
      <c r="F607" s="69">
        <v>39.130000000000003</v>
      </c>
      <c r="G607" s="8">
        <f t="shared" si="26"/>
        <v>12916.10866</v>
      </c>
      <c r="H607" s="70">
        <v>12915.45</v>
      </c>
      <c r="I607" s="69">
        <v>13000</v>
      </c>
      <c r="J607" s="41">
        <f t="shared" si="27"/>
        <v>-0.65038461538460979</v>
      </c>
    </row>
    <row r="608" spans="1:10" ht="15.75" thickBot="1">
      <c r="A608" s="72">
        <v>20</v>
      </c>
      <c r="B608" s="68" t="s">
        <v>93</v>
      </c>
      <c r="C608" s="68" t="s">
        <v>167</v>
      </c>
      <c r="D608" s="68" t="s">
        <v>164</v>
      </c>
      <c r="E608" s="68">
        <v>516.34199999999998</v>
      </c>
      <c r="F608" s="68">
        <v>25.94</v>
      </c>
      <c r="G608" s="8">
        <f t="shared" si="26"/>
        <v>13393.911480000001</v>
      </c>
      <c r="H608" s="87">
        <v>13393.91</v>
      </c>
      <c r="I608" s="69">
        <v>13000</v>
      </c>
      <c r="J608" s="41">
        <f t="shared" si="27"/>
        <v>3.0300769230769218</v>
      </c>
    </row>
    <row r="609" spans="1:10" ht="15.75" thickBot="1">
      <c r="A609" s="72"/>
      <c r="B609" s="68"/>
      <c r="C609" s="68"/>
      <c r="D609" s="68"/>
      <c r="E609" s="68"/>
      <c r="F609" s="68"/>
      <c r="G609" s="8"/>
      <c r="H609" s="68"/>
      <c r="I609" s="68"/>
      <c r="J609" s="68"/>
    </row>
    <row r="610" spans="1:10" ht="15.75" thickBot="1">
      <c r="A610" s="72"/>
      <c r="B610" s="68"/>
      <c r="C610" s="68"/>
      <c r="D610" s="68"/>
      <c r="E610" s="68"/>
      <c r="F610" s="68"/>
      <c r="G610" s="8"/>
      <c r="H610" s="68"/>
      <c r="I610" s="68"/>
      <c r="J610" s="68"/>
    </row>
    <row r="611" spans="1:10" ht="15.75" thickBot="1">
      <c r="A611" s="72"/>
      <c r="B611" s="68"/>
      <c r="C611" s="68"/>
      <c r="D611" s="68"/>
      <c r="E611" s="68"/>
      <c r="F611" s="68"/>
      <c r="G611" s="8"/>
      <c r="H611" s="68"/>
      <c r="I611" s="68"/>
      <c r="J611" s="68"/>
    </row>
    <row r="612" spans="1:10" ht="15.75" thickBot="1">
      <c r="A612" s="72"/>
      <c r="B612" s="68"/>
      <c r="C612" s="68"/>
      <c r="D612" s="68"/>
      <c r="E612" s="68"/>
      <c r="F612" s="68"/>
      <c r="G612" s="8"/>
      <c r="H612" s="68"/>
      <c r="I612" s="68"/>
      <c r="J612" s="68"/>
    </row>
    <row r="613" spans="1:10" ht="15.75" thickBot="1">
      <c r="A613" s="73"/>
      <c r="B613" s="74"/>
      <c r="C613" s="74"/>
      <c r="D613" s="74"/>
      <c r="E613" s="74"/>
      <c r="F613" s="74"/>
      <c r="G613" s="74">
        <f>SUM(G589:G612)</f>
        <v>693187.47385999991</v>
      </c>
      <c r="H613" s="24">
        <f>SUM(H589:H612)</f>
        <v>693188.78999999992</v>
      </c>
      <c r="I613" s="24">
        <f>SUM(I589:I612)</f>
        <v>555000</v>
      </c>
      <c r="J613" s="25">
        <f>((H613-I613)/I613)*100</f>
        <v>24.898881081081068</v>
      </c>
    </row>
    <row r="615" spans="1:10" ht="15.75" thickBot="1"/>
    <row r="616" spans="1:10" ht="15.75" thickBot="1">
      <c r="A616" s="78"/>
      <c r="B616" s="79" t="s">
        <v>183</v>
      </c>
      <c r="C616" s="79" t="s">
        <v>55</v>
      </c>
      <c r="D616" s="79" t="s">
        <v>132</v>
      </c>
      <c r="E616" s="79" t="s">
        <v>56</v>
      </c>
      <c r="F616" s="79" t="s">
        <v>57</v>
      </c>
      <c r="G616" s="79" t="s">
        <v>58</v>
      </c>
      <c r="H616" s="79" t="s">
        <v>59</v>
      </c>
      <c r="I616" s="79" t="s">
        <v>60</v>
      </c>
      <c r="J616" s="79" t="s">
        <v>133</v>
      </c>
    </row>
    <row r="617" spans="1:10" ht="15.75" thickBot="1">
      <c r="A617" s="67">
        <v>1</v>
      </c>
      <c r="B617" s="68" t="s">
        <v>21</v>
      </c>
      <c r="C617" s="68" t="s">
        <v>101</v>
      </c>
      <c r="D617" s="68" t="s">
        <v>102</v>
      </c>
      <c r="E617" s="69">
        <v>988.00599999999997</v>
      </c>
      <c r="F617" s="69">
        <v>62.04</v>
      </c>
      <c r="G617" s="8">
        <f t="shared" ref="G617:G636" si="28">E617*F617</f>
        <v>61295.892240000001</v>
      </c>
      <c r="H617" s="70">
        <v>61295.89</v>
      </c>
      <c r="I617" s="8">
        <v>47000</v>
      </c>
      <c r="J617" s="41">
        <f t="shared" ref="J617:J636" si="29">((H617-I617)/I617)*100</f>
        <v>30.416787234042552</v>
      </c>
    </row>
    <row r="618" spans="1:10" ht="15.75" thickBot="1">
      <c r="A618" s="67">
        <v>2</v>
      </c>
      <c r="B618" s="68" t="s">
        <v>23</v>
      </c>
      <c r="C618" s="68" t="s">
        <v>101</v>
      </c>
      <c r="D618" s="68" t="s">
        <v>103</v>
      </c>
      <c r="E618" s="69">
        <v>728.22799999999995</v>
      </c>
      <c r="F618" s="69">
        <v>107.47</v>
      </c>
      <c r="G618" s="8">
        <f t="shared" si="28"/>
        <v>78262.663159999996</v>
      </c>
      <c r="H618" s="70">
        <v>78262.66</v>
      </c>
      <c r="I618" s="8">
        <v>52000</v>
      </c>
      <c r="J618" s="41">
        <f t="shared" si="29"/>
        <v>50.505115384615394</v>
      </c>
    </row>
    <row r="619" spans="1:10" ht="15.75" thickBot="1">
      <c r="A619" s="67">
        <v>3</v>
      </c>
      <c r="B619" s="68" t="s">
        <v>99</v>
      </c>
      <c r="C619" s="68" t="s">
        <v>104</v>
      </c>
      <c r="D619" s="68" t="s">
        <v>105</v>
      </c>
      <c r="E619" s="69">
        <v>311.52</v>
      </c>
      <c r="F619" s="69">
        <v>47.69</v>
      </c>
      <c r="G619" s="8">
        <f t="shared" si="28"/>
        <v>14856.388799999999</v>
      </c>
      <c r="H619" s="70">
        <v>14855.77</v>
      </c>
      <c r="I619" s="68">
        <v>14000</v>
      </c>
      <c r="J619" s="41">
        <f t="shared" si="29"/>
        <v>6.1126428571428599</v>
      </c>
    </row>
    <row r="620" spans="1:10" ht="15.75" thickBot="1">
      <c r="A620" s="67">
        <v>4</v>
      </c>
      <c r="B620" s="68" t="s">
        <v>97</v>
      </c>
      <c r="C620" s="68" t="s">
        <v>104</v>
      </c>
      <c r="D620" s="68" t="s">
        <v>106</v>
      </c>
      <c r="E620" s="69">
        <v>187.78899999999999</v>
      </c>
      <c r="F620" s="69">
        <v>79.91</v>
      </c>
      <c r="G620" s="8">
        <f t="shared" si="28"/>
        <v>15006.218989999998</v>
      </c>
      <c r="H620" s="70">
        <v>15005.28</v>
      </c>
      <c r="I620" s="68">
        <v>14000</v>
      </c>
      <c r="J620" s="41">
        <f t="shared" si="29"/>
        <v>7.180571428571433</v>
      </c>
    </row>
    <row r="621" spans="1:10" ht="15.75" thickBot="1">
      <c r="A621" s="67">
        <v>5</v>
      </c>
      <c r="B621" s="68" t="s">
        <v>89</v>
      </c>
      <c r="C621" s="68" t="s">
        <v>107</v>
      </c>
      <c r="D621" s="68" t="s">
        <v>108</v>
      </c>
      <c r="E621" s="69">
        <v>899.46699999999998</v>
      </c>
      <c r="F621" s="69">
        <v>16.57</v>
      </c>
      <c r="G621" s="8">
        <f t="shared" si="28"/>
        <v>14904.16819</v>
      </c>
      <c r="H621" s="70">
        <v>14904.17</v>
      </c>
      <c r="I621" s="68">
        <v>14000</v>
      </c>
      <c r="J621" s="41">
        <f t="shared" si="29"/>
        <v>6.4583571428571434</v>
      </c>
    </row>
    <row r="622" spans="1:10" ht="15.75" thickBot="1">
      <c r="A622" s="67">
        <v>6</v>
      </c>
      <c r="B622" s="68" t="s">
        <v>85</v>
      </c>
      <c r="C622" s="68" t="s">
        <v>107</v>
      </c>
      <c r="D622" s="68" t="s">
        <v>109</v>
      </c>
      <c r="E622" s="69">
        <v>327.20600000000002</v>
      </c>
      <c r="F622" s="69">
        <v>46.64</v>
      </c>
      <c r="G622" s="8">
        <f t="shared" si="28"/>
        <v>15260.887840000001</v>
      </c>
      <c r="H622" s="70">
        <v>15260.89</v>
      </c>
      <c r="I622" s="68">
        <v>15000</v>
      </c>
      <c r="J622" s="41">
        <f t="shared" si="29"/>
        <v>1.739266666666663</v>
      </c>
    </row>
    <row r="623" spans="1:10" ht="15.75" thickBot="1">
      <c r="A623" s="67">
        <v>7</v>
      </c>
      <c r="B623" s="68" t="s">
        <v>91</v>
      </c>
      <c r="C623" s="68" t="s">
        <v>110</v>
      </c>
      <c r="D623" s="68" t="s">
        <v>111</v>
      </c>
      <c r="E623" s="69">
        <v>328.06400000000002</v>
      </c>
      <c r="F623" s="69">
        <v>44.18</v>
      </c>
      <c r="G623" s="8">
        <f t="shared" si="28"/>
        <v>14493.867520000002</v>
      </c>
      <c r="H623" s="70">
        <v>14492.23</v>
      </c>
      <c r="I623" s="68">
        <v>14000</v>
      </c>
      <c r="J623" s="41">
        <f t="shared" si="29"/>
        <v>3.5159285714285686</v>
      </c>
    </row>
    <row r="624" spans="1:10" ht="15.75" thickBot="1">
      <c r="A624" s="67">
        <v>8</v>
      </c>
      <c r="B624" s="68" t="s">
        <v>87</v>
      </c>
      <c r="C624" s="68" t="s">
        <v>158</v>
      </c>
      <c r="D624" s="68" t="s">
        <v>160</v>
      </c>
      <c r="E624" s="69">
        <v>170.91800000000001</v>
      </c>
      <c r="F624" s="69">
        <v>86.36</v>
      </c>
      <c r="G624" s="8">
        <f t="shared" si="28"/>
        <v>14760.47848</v>
      </c>
      <c r="H624" s="70">
        <v>14760.48</v>
      </c>
      <c r="I624" s="68">
        <v>14000</v>
      </c>
      <c r="J624" s="41">
        <f t="shared" si="29"/>
        <v>5.4319999999999968</v>
      </c>
    </row>
    <row r="625" spans="1:10" ht="15.75" thickBot="1">
      <c r="A625" s="67">
        <v>9</v>
      </c>
      <c r="B625" s="68" t="s">
        <v>41</v>
      </c>
      <c r="C625" s="68" t="s">
        <v>156</v>
      </c>
      <c r="D625" s="68" t="s">
        <v>161</v>
      </c>
      <c r="E625" s="69">
        <v>112.02800000000001</v>
      </c>
      <c r="F625" s="69">
        <v>170.46</v>
      </c>
      <c r="G625" s="8">
        <f t="shared" si="28"/>
        <v>19096.292880000001</v>
      </c>
      <c r="H625" s="70">
        <v>19095.73</v>
      </c>
      <c r="I625" s="68">
        <v>19000</v>
      </c>
      <c r="J625" s="41">
        <f t="shared" si="29"/>
        <v>0.50384210526315554</v>
      </c>
    </row>
    <row r="626" spans="1:10" ht="15.75" thickBot="1">
      <c r="A626" s="67">
        <v>10</v>
      </c>
      <c r="B626" s="68" t="s">
        <v>147</v>
      </c>
      <c r="C626" s="71" t="s">
        <v>157</v>
      </c>
      <c r="D626" s="71" t="s">
        <v>103</v>
      </c>
      <c r="E626" s="69">
        <v>194.548</v>
      </c>
      <c r="F626" s="69">
        <v>142.59</v>
      </c>
      <c r="G626" s="8">
        <f t="shared" si="28"/>
        <v>27740.599320000001</v>
      </c>
      <c r="H626" s="70">
        <v>27740.21</v>
      </c>
      <c r="I626" s="88">
        <v>26000</v>
      </c>
      <c r="J626" s="41">
        <f t="shared" si="29"/>
        <v>6.693115384615381</v>
      </c>
    </row>
    <row r="627" spans="1:10" ht="15.75" thickBot="1">
      <c r="A627" s="67">
        <v>11</v>
      </c>
      <c r="B627" s="68" t="s">
        <v>19</v>
      </c>
      <c r="C627" s="68" t="s">
        <v>115</v>
      </c>
      <c r="D627" s="68" t="s">
        <v>116</v>
      </c>
      <c r="E627" s="69">
        <v>599.09500000000003</v>
      </c>
      <c r="F627" s="69">
        <v>114.93</v>
      </c>
      <c r="G627" s="8">
        <f t="shared" si="28"/>
        <v>68853.988350000014</v>
      </c>
      <c r="H627" s="70">
        <v>68853.990000000005</v>
      </c>
      <c r="I627" s="8">
        <v>47000</v>
      </c>
      <c r="J627" s="41">
        <f t="shared" si="29"/>
        <v>46.497851063829799</v>
      </c>
    </row>
    <row r="628" spans="1:10" ht="15.75" thickBot="1">
      <c r="A628" s="67">
        <v>12</v>
      </c>
      <c r="B628" s="68" t="s">
        <v>17</v>
      </c>
      <c r="C628" s="68" t="s">
        <v>115</v>
      </c>
      <c r="D628" s="68" t="s">
        <v>117</v>
      </c>
      <c r="E628" s="69">
        <v>748.49099999999999</v>
      </c>
      <c r="F628" s="69">
        <v>87.35</v>
      </c>
      <c r="G628" s="8">
        <f t="shared" si="28"/>
        <v>65380.688849999991</v>
      </c>
      <c r="H628" s="70">
        <v>65380.69</v>
      </c>
      <c r="I628" s="8">
        <v>47000</v>
      </c>
      <c r="J628" s="41">
        <f t="shared" si="29"/>
        <v>39.107851063829791</v>
      </c>
    </row>
    <row r="629" spans="1:10" ht="15.75" thickBot="1">
      <c r="A629" s="67">
        <v>13</v>
      </c>
      <c r="B629" s="68" t="s">
        <v>11</v>
      </c>
      <c r="C629" s="68" t="s">
        <v>159</v>
      </c>
      <c r="D629" s="68" t="s">
        <v>119</v>
      </c>
      <c r="E629" s="69">
        <v>538.04399999999998</v>
      </c>
      <c r="F629" s="69">
        <v>116.88</v>
      </c>
      <c r="G629" s="8">
        <f t="shared" si="28"/>
        <v>62886.582719999999</v>
      </c>
      <c r="H629" s="70">
        <v>62888.2</v>
      </c>
      <c r="I629" s="8">
        <v>49000</v>
      </c>
      <c r="J629" s="41">
        <f t="shared" si="29"/>
        <v>28.343265306122444</v>
      </c>
    </row>
    <row r="630" spans="1:10" ht="15.75" thickBot="1">
      <c r="A630" s="67">
        <v>14</v>
      </c>
      <c r="B630" s="68" t="s">
        <v>40</v>
      </c>
      <c r="C630" s="68" t="s">
        <v>120</v>
      </c>
      <c r="D630" s="68" t="s">
        <v>121</v>
      </c>
      <c r="E630" s="69">
        <v>218.221</v>
      </c>
      <c r="F630" s="69">
        <v>93.57</v>
      </c>
      <c r="G630" s="8">
        <f t="shared" si="28"/>
        <v>20418.938969999999</v>
      </c>
      <c r="H630" s="70">
        <v>20418.939999999999</v>
      </c>
      <c r="I630" s="8">
        <v>19000</v>
      </c>
      <c r="J630" s="41">
        <f t="shared" si="29"/>
        <v>7.4681052631578888</v>
      </c>
    </row>
    <row r="631" spans="1:10" ht="15.75" thickBot="1">
      <c r="A631" s="67">
        <v>15</v>
      </c>
      <c r="B631" s="68" t="s">
        <v>37</v>
      </c>
      <c r="C631" s="68" t="s">
        <v>120</v>
      </c>
      <c r="D631" s="68" t="s">
        <v>122</v>
      </c>
      <c r="E631" s="69">
        <v>204.23500000000001</v>
      </c>
      <c r="F631" s="69">
        <v>169.92</v>
      </c>
      <c r="G631" s="8">
        <f t="shared" si="28"/>
        <v>34703.611199999999</v>
      </c>
      <c r="H631" s="70">
        <v>34703.61</v>
      </c>
      <c r="I631" s="8">
        <v>27000</v>
      </c>
      <c r="J631" s="41">
        <f t="shared" si="29"/>
        <v>28.53188888888889</v>
      </c>
    </row>
    <row r="632" spans="1:10" ht="15.75" thickBot="1">
      <c r="A632" s="67">
        <v>16</v>
      </c>
      <c r="B632" s="68" t="s">
        <v>42</v>
      </c>
      <c r="C632" s="68" t="s">
        <v>123</v>
      </c>
      <c r="D632" s="68" t="s">
        <v>124</v>
      </c>
      <c r="E632" s="69">
        <v>116.62</v>
      </c>
      <c r="F632" s="69">
        <v>259.87</v>
      </c>
      <c r="G632" s="8">
        <f t="shared" si="28"/>
        <v>30306.039400000001</v>
      </c>
      <c r="H632" s="70">
        <v>29314.12</v>
      </c>
      <c r="I632" s="68">
        <v>30000</v>
      </c>
      <c r="J632" s="41">
        <f t="shared" si="29"/>
        <v>-2.2862666666666702</v>
      </c>
    </row>
    <row r="633" spans="1:10" ht="15.75" thickBot="1">
      <c r="A633" s="67">
        <v>17</v>
      </c>
      <c r="B633" s="68" t="s">
        <v>15</v>
      </c>
      <c r="C633" s="68" t="s">
        <v>165</v>
      </c>
      <c r="D633" s="68" t="s">
        <v>162</v>
      </c>
      <c r="E633" s="69">
        <v>778.20100000000002</v>
      </c>
      <c r="F633" s="69">
        <v>95.13</v>
      </c>
      <c r="G633" s="8">
        <f t="shared" si="28"/>
        <v>74030.261129999999</v>
      </c>
      <c r="H633" s="70">
        <v>74031.039999999994</v>
      </c>
      <c r="I633" s="39">
        <v>53000</v>
      </c>
      <c r="J633" s="41">
        <f t="shared" si="29"/>
        <v>39.681207547169798</v>
      </c>
    </row>
    <row r="634" spans="1:10" ht="15.75" thickBot="1">
      <c r="A634" s="67">
        <v>18</v>
      </c>
      <c r="B634" s="68" t="s">
        <v>13</v>
      </c>
      <c r="C634" s="68" t="s">
        <v>166</v>
      </c>
      <c r="D634" s="68" t="s">
        <v>163</v>
      </c>
      <c r="E634" s="69">
        <v>368.78300000000002</v>
      </c>
      <c r="F634" s="69">
        <v>171.3</v>
      </c>
      <c r="G634" s="8">
        <f t="shared" si="28"/>
        <v>63172.527900000008</v>
      </c>
      <c r="H634" s="70">
        <v>63171.42</v>
      </c>
      <c r="I634" s="8">
        <v>47000</v>
      </c>
      <c r="J634" s="41">
        <f t="shared" si="29"/>
        <v>34.407276595744676</v>
      </c>
    </row>
    <row r="635" spans="1:10" ht="15.75" thickBot="1">
      <c r="A635" s="67">
        <v>19</v>
      </c>
      <c r="B635" s="68" t="s">
        <v>95</v>
      </c>
      <c r="C635" s="68" t="s">
        <v>128</v>
      </c>
      <c r="D635" s="68" t="s">
        <v>129</v>
      </c>
      <c r="E635" s="69">
        <v>355.964</v>
      </c>
      <c r="F635" s="69">
        <v>38.32</v>
      </c>
      <c r="G635" s="8">
        <f t="shared" si="28"/>
        <v>13640.54048</v>
      </c>
      <c r="H635" s="70">
        <v>13639.12</v>
      </c>
      <c r="I635" s="69">
        <v>14000</v>
      </c>
      <c r="J635" s="41">
        <f t="shared" si="29"/>
        <v>-2.5777142857142801</v>
      </c>
    </row>
    <row r="636" spans="1:10" ht="15.75" thickBot="1">
      <c r="A636" s="72">
        <v>20</v>
      </c>
      <c r="B636" s="68" t="s">
        <v>93</v>
      </c>
      <c r="C636" s="68" t="s">
        <v>167</v>
      </c>
      <c r="D636" s="68" t="s">
        <v>164</v>
      </c>
      <c r="E636" s="68">
        <v>554.71600000000001</v>
      </c>
      <c r="F636" s="68">
        <v>26.14</v>
      </c>
      <c r="G636" s="8">
        <f t="shared" si="28"/>
        <v>14500.276240000001</v>
      </c>
      <c r="H636" s="87">
        <v>14500.28</v>
      </c>
      <c r="I636" s="69">
        <v>14000</v>
      </c>
      <c r="J636" s="41">
        <f t="shared" si="29"/>
        <v>3.5734285714285758</v>
      </c>
    </row>
    <row r="637" spans="1:10" ht="15.75" thickBot="1">
      <c r="A637" s="72"/>
      <c r="B637" s="68"/>
      <c r="C637" s="68"/>
      <c r="D637" s="68"/>
      <c r="E637" s="68"/>
      <c r="F637" s="68"/>
      <c r="G637" s="8"/>
      <c r="H637" s="68"/>
      <c r="I637" s="68"/>
      <c r="J637" s="68"/>
    </row>
    <row r="638" spans="1:10" ht="15.75" thickBot="1">
      <c r="A638" s="72"/>
      <c r="B638" s="68"/>
      <c r="C638" s="68"/>
      <c r="D638" s="68"/>
      <c r="E638" s="68"/>
      <c r="F638" s="68"/>
      <c r="G638" s="8"/>
      <c r="H638" s="68"/>
      <c r="I638" s="68"/>
      <c r="J638" s="68"/>
    </row>
    <row r="639" spans="1:10" ht="15.75" thickBot="1">
      <c r="A639" s="72"/>
      <c r="B639" s="68"/>
      <c r="C639" s="68"/>
      <c r="D639" s="68"/>
      <c r="E639" s="68"/>
      <c r="F639" s="68"/>
      <c r="G639" s="8"/>
      <c r="H639" s="68"/>
      <c r="I639" s="68"/>
      <c r="J639" s="68"/>
    </row>
    <row r="640" spans="1:10" ht="15.75" thickBot="1">
      <c r="A640" s="72"/>
      <c r="B640" s="68"/>
      <c r="C640" s="68"/>
      <c r="D640" s="68"/>
      <c r="E640" s="68"/>
      <c r="F640" s="68"/>
      <c r="G640" s="8"/>
      <c r="H640" s="68"/>
      <c r="I640" s="68"/>
      <c r="J640" s="68"/>
    </row>
    <row r="641" spans="1:10" ht="15.75" thickBot="1">
      <c r="A641" s="73"/>
      <c r="B641" s="74"/>
      <c r="C641" s="74"/>
      <c r="D641" s="74"/>
      <c r="E641" s="74"/>
      <c r="F641" s="74"/>
      <c r="G641" s="74">
        <f>SUM(G617:G640)</f>
        <v>723570.91266000003</v>
      </c>
      <c r="H641" s="24">
        <f>SUM(H617:H640)</f>
        <v>722574.72000000009</v>
      </c>
      <c r="I641" s="24">
        <f>SUM(I617:I640)</f>
        <v>576000</v>
      </c>
      <c r="J641" s="25">
        <f>((H641-I641)/I641)*100</f>
        <v>25.447000000000013</v>
      </c>
    </row>
    <row r="644" spans="1:10" ht="15.75" thickBot="1"/>
    <row r="645" spans="1:10" ht="15.75" thickBot="1">
      <c r="A645" s="78"/>
      <c r="B645" s="79" t="s">
        <v>184</v>
      </c>
      <c r="C645" s="79" t="s">
        <v>55</v>
      </c>
      <c r="D645" s="79" t="s">
        <v>132</v>
      </c>
      <c r="E645" s="79" t="s">
        <v>56</v>
      </c>
      <c r="F645" s="79" t="s">
        <v>57</v>
      </c>
      <c r="G645" s="79" t="s">
        <v>58</v>
      </c>
      <c r="H645" s="79" t="s">
        <v>59</v>
      </c>
      <c r="I645" s="79" t="s">
        <v>60</v>
      </c>
      <c r="J645" s="79" t="s">
        <v>133</v>
      </c>
    </row>
    <row r="646" spans="1:10" ht="15.75" thickBot="1">
      <c r="A646" s="67">
        <v>1</v>
      </c>
      <c r="B646" s="68" t="s">
        <v>21</v>
      </c>
      <c r="C646" s="68" t="s">
        <v>101</v>
      </c>
      <c r="D646" s="68" t="s">
        <v>102</v>
      </c>
      <c r="E646" s="70">
        <v>1004.2569999999999</v>
      </c>
      <c r="F646" s="69">
        <v>61.42</v>
      </c>
      <c r="G646" s="8">
        <f t="shared" ref="G646:G665" si="30">E646*F646</f>
        <v>61681.464939999998</v>
      </c>
      <c r="H646" s="70">
        <v>61681.46</v>
      </c>
      <c r="I646" s="8">
        <v>48000</v>
      </c>
      <c r="J646" s="41">
        <f t="shared" ref="J646:J665" si="31">((H646-I646)/I646)*100</f>
        <v>28.503041666666668</v>
      </c>
    </row>
    <row r="647" spans="1:10" ht="15.75" thickBot="1">
      <c r="A647" s="67">
        <v>2</v>
      </c>
      <c r="B647" s="68" t="s">
        <v>23</v>
      </c>
      <c r="C647" s="68" t="s">
        <v>101</v>
      </c>
      <c r="D647" s="68" t="s">
        <v>103</v>
      </c>
      <c r="E647" s="69">
        <v>737.85299999999995</v>
      </c>
      <c r="F647" s="69">
        <v>103.31</v>
      </c>
      <c r="G647" s="8">
        <f t="shared" si="30"/>
        <v>76227.593429999994</v>
      </c>
      <c r="H647" s="70">
        <v>76227.59</v>
      </c>
      <c r="I647" s="8">
        <v>53000</v>
      </c>
      <c r="J647" s="41">
        <f t="shared" si="31"/>
        <v>43.825641509433957</v>
      </c>
    </row>
    <row r="648" spans="1:10" ht="15.75" thickBot="1">
      <c r="A648" s="67">
        <v>3</v>
      </c>
      <c r="B648" s="68" t="s">
        <v>99</v>
      </c>
      <c r="C648" s="68" t="s">
        <v>104</v>
      </c>
      <c r="D648" s="68" t="s">
        <v>105</v>
      </c>
      <c r="E648" s="69">
        <v>200.37</v>
      </c>
      <c r="F648" s="69">
        <v>79.2</v>
      </c>
      <c r="G648" s="8">
        <f t="shared" si="30"/>
        <v>15869.304</v>
      </c>
      <c r="H648" s="70">
        <v>15868.9</v>
      </c>
      <c r="I648" s="68">
        <v>15000</v>
      </c>
      <c r="J648" s="41">
        <f t="shared" si="31"/>
        <v>5.7926666666666637</v>
      </c>
    </row>
    <row r="649" spans="1:10" ht="15.75" thickBot="1">
      <c r="A649" s="67">
        <v>4</v>
      </c>
      <c r="B649" s="68" t="s">
        <v>97</v>
      </c>
      <c r="C649" s="68" t="s">
        <v>104</v>
      </c>
      <c r="D649" s="68" t="s">
        <v>106</v>
      </c>
      <c r="E649" s="69">
        <v>333.48200000000003</v>
      </c>
      <c r="F649" s="69">
        <v>45.84</v>
      </c>
      <c r="G649" s="8">
        <f t="shared" si="30"/>
        <v>15286.814880000002</v>
      </c>
      <c r="H649" s="70">
        <v>15285.48</v>
      </c>
      <c r="I649" s="68">
        <v>15000</v>
      </c>
      <c r="J649" s="41">
        <f t="shared" si="31"/>
        <v>1.9031999999999973</v>
      </c>
    </row>
    <row r="650" spans="1:10" ht="15.75" thickBot="1">
      <c r="A650" s="67">
        <v>5</v>
      </c>
      <c r="B650" s="68" t="s">
        <v>89</v>
      </c>
      <c r="C650" s="68" t="s">
        <v>107</v>
      </c>
      <c r="D650" s="68" t="s">
        <v>108</v>
      </c>
      <c r="E650" s="69">
        <v>960.96500000000003</v>
      </c>
      <c r="F650" s="69">
        <v>16.350000000000001</v>
      </c>
      <c r="G650" s="8">
        <f t="shared" si="30"/>
        <v>15711.777750000001</v>
      </c>
      <c r="H650" s="70">
        <v>15711.78</v>
      </c>
      <c r="I650" s="68">
        <v>15000</v>
      </c>
      <c r="J650" s="41">
        <f t="shared" si="31"/>
        <v>4.7452000000000041</v>
      </c>
    </row>
    <row r="651" spans="1:10" ht="15.75" thickBot="1">
      <c r="A651" s="67">
        <v>6</v>
      </c>
      <c r="B651" s="68" t="s">
        <v>85</v>
      </c>
      <c r="C651" s="68" t="s">
        <v>107</v>
      </c>
      <c r="D651" s="68" t="s">
        <v>109</v>
      </c>
      <c r="E651" s="69">
        <v>350.041</v>
      </c>
      <c r="F651" s="69">
        <v>44.13</v>
      </c>
      <c r="G651" s="8">
        <f t="shared" si="30"/>
        <v>15447.30933</v>
      </c>
      <c r="H651" s="70">
        <v>15447.31</v>
      </c>
      <c r="I651" s="68">
        <v>16000</v>
      </c>
      <c r="J651" s="41">
        <f t="shared" si="31"/>
        <v>-3.454312500000003</v>
      </c>
    </row>
    <row r="652" spans="1:10" ht="15.75" thickBot="1">
      <c r="A652" s="67">
        <v>7</v>
      </c>
      <c r="B652" s="68" t="s">
        <v>91</v>
      </c>
      <c r="C652" s="68" t="s">
        <v>110</v>
      </c>
      <c r="D652" s="68" t="s">
        <v>111</v>
      </c>
      <c r="E652" s="69">
        <v>351.59300000000002</v>
      </c>
      <c r="F652" s="69">
        <v>42.8</v>
      </c>
      <c r="G652" s="8">
        <f t="shared" si="30"/>
        <v>15048.180399999999</v>
      </c>
      <c r="H652" s="70">
        <v>15048.18</v>
      </c>
      <c r="I652" s="68">
        <v>15000</v>
      </c>
      <c r="J652" s="41">
        <f t="shared" si="31"/>
        <v>0.32120000000000193</v>
      </c>
    </row>
    <row r="653" spans="1:10" ht="15.75" thickBot="1">
      <c r="A653" s="67">
        <v>8</v>
      </c>
      <c r="B653" s="68" t="s">
        <v>87</v>
      </c>
      <c r="C653" s="68" t="s">
        <v>158</v>
      </c>
      <c r="D653" s="68" t="s">
        <v>160</v>
      </c>
      <c r="E653" s="69">
        <v>182.51400000000001</v>
      </c>
      <c r="F653" s="69">
        <v>85.99</v>
      </c>
      <c r="G653" s="8">
        <f t="shared" si="30"/>
        <v>15694.378860000001</v>
      </c>
      <c r="H653" s="70">
        <v>15694.38</v>
      </c>
      <c r="I653" s="68">
        <v>15000</v>
      </c>
      <c r="J653" s="41">
        <f t="shared" si="31"/>
        <v>4.6291999999999947</v>
      </c>
    </row>
    <row r="654" spans="1:10" ht="15.75" thickBot="1">
      <c r="A654" s="67">
        <v>9</v>
      </c>
      <c r="B654" s="68" t="s">
        <v>41</v>
      </c>
      <c r="C654" s="68" t="s">
        <v>156</v>
      </c>
      <c r="D654" s="68" t="s">
        <v>161</v>
      </c>
      <c r="E654" s="69">
        <v>118.161</v>
      </c>
      <c r="F654" s="69">
        <v>162.76</v>
      </c>
      <c r="G654" s="8">
        <f t="shared" si="30"/>
        <v>19231.88436</v>
      </c>
      <c r="H654" s="70">
        <v>19231.53</v>
      </c>
      <c r="I654" s="68">
        <v>20000</v>
      </c>
      <c r="J654" s="41">
        <f t="shared" si="31"/>
        <v>-3.8423500000000055</v>
      </c>
    </row>
    <row r="655" spans="1:10" ht="15.75" thickBot="1">
      <c r="A655" s="67">
        <v>10</v>
      </c>
      <c r="B655" s="68" t="s">
        <v>147</v>
      </c>
      <c r="C655" s="71" t="s">
        <v>157</v>
      </c>
      <c r="D655" s="71" t="s">
        <v>103</v>
      </c>
      <c r="E655" s="69">
        <v>209.18899999999999</v>
      </c>
      <c r="F655" s="69">
        <v>137.16</v>
      </c>
      <c r="G655" s="8">
        <f t="shared" si="30"/>
        <v>28692.363239999999</v>
      </c>
      <c r="H655" s="70">
        <v>28692.15</v>
      </c>
      <c r="I655" s="88">
        <v>28000</v>
      </c>
      <c r="J655" s="41">
        <f t="shared" si="31"/>
        <v>2.4719642857142907</v>
      </c>
    </row>
    <row r="656" spans="1:10" ht="15.75" thickBot="1">
      <c r="A656" s="67">
        <v>11</v>
      </c>
      <c r="B656" s="68" t="s">
        <v>19</v>
      </c>
      <c r="C656" s="68" t="s">
        <v>115</v>
      </c>
      <c r="D656" s="68" t="s">
        <v>116</v>
      </c>
      <c r="E656" s="69">
        <v>607.80999999999995</v>
      </c>
      <c r="F656" s="69">
        <v>114.42</v>
      </c>
      <c r="G656" s="8">
        <f t="shared" si="30"/>
        <v>69545.62019999999</v>
      </c>
      <c r="H656" s="70">
        <v>69545.62</v>
      </c>
      <c r="I656" s="8">
        <v>48000</v>
      </c>
      <c r="J656" s="41">
        <f t="shared" si="31"/>
        <v>44.886708333333324</v>
      </c>
    </row>
    <row r="657" spans="1:10" ht="15.75" thickBot="1">
      <c r="A657" s="67">
        <v>12</v>
      </c>
      <c r="B657" s="68" t="s">
        <v>17</v>
      </c>
      <c r="C657" s="68" t="s">
        <v>115</v>
      </c>
      <c r="D657" s="68" t="s">
        <v>117</v>
      </c>
      <c r="E657" s="69">
        <v>760.18899999999996</v>
      </c>
      <c r="F657" s="69">
        <v>84.98</v>
      </c>
      <c r="G657" s="8">
        <f t="shared" si="30"/>
        <v>64600.861219999999</v>
      </c>
      <c r="H657" s="70">
        <v>64600.86</v>
      </c>
      <c r="I657" s="8">
        <v>48000</v>
      </c>
      <c r="J657" s="41">
        <f t="shared" si="31"/>
        <v>34.585124999999998</v>
      </c>
    </row>
    <row r="658" spans="1:10" ht="15.75" thickBot="1">
      <c r="A658" s="67">
        <v>13</v>
      </c>
      <c r="B658" s="68" t="s">
        <v>11</v>
      </c>
      <c r="C658" s="68" t="s">
        <v>159</v>
      </c>
      <c r="D658" s="68" t="s">
        <v>119</v>
      </c>
      <c r="E658" s="69">
        <v>546.60699999999997</v>
      </c>
      <c r="F658" s="69">
        <v>116.44</v>
      </c>
      <c r="G658" s="8">
        <f t="shared" si="30"/>
        <v>63646.919079999992</v>
      </c>
      <c r="H658" s="70">
        <v>63646.37</v>
      </c>
      <c r="I658" s="8">
        <v>50000</v>
      </c>
      <c r="J658" s="41">
        <f t="shared" si="31"/>
        <v>27.292740000000006</v>
      </c>
    </row>
    <row r="659" spans="1:10" ht="15.75" thickBot="1">
      <c r="A659" s="67">
        <v>14</v>
      </c>
      <c r="B659" s="68" t="s">
        <v>40</v>
      </c>
      <c r="C659" s="68" t="s">
        <v>120</v>
      </c>
      <c r="D659" s="68" t="s">
        <v>121</v>
      </c>
      <c r="E659" s="69">
        <v>228.91499999999999</v>
      </c>
      <c r="F659" s="69">
        <v>93.08</v>
      </c>
      <c r="G659" s="8">
        <f t="shared" si="30"/>
        <v>21307.408199999998</v>
      </c>
      <c r="H659" s="70">
        <v>21306.95</v>
      </c>
      <c r="I659" s="8">
        <v>20000</v>
      </c>
      <c r="J659" s="41">
        <f t="shared" si="31"/>
        <v>6.5347500000000034</v>
      </c>
    </row>
    <row r="660" spans="1:10" ht="15.75" thickBot="1">
      <c r="A660" s="67">
        <v>15</v>
      </c>
      <c r="B660" s="68" t="s">
        <v>37</v>
      </c>
      <c r="C660" s="68" t="s">
        <v>120</v>
      </c>
      <c r="D660" s="68" t="s">
        <v>122</v>
      </c>
      <c r="E660" s="69">
        <v>210.32400000000001</v>
      </c>
      <c r="F660" s="69">
        <v>163.95</v>
      </c>
      <c r="G660" s="8">
        <f t="shared" si="30"/>
        <v>34482.6198</v>
      </c>
      <c r="H660" s="70">
        <v>34483.46</v>
      </c>
      <c r="I660" s="8">
        <v>28000</v>
      </c>
      <c r="J660" s="41">
        <f t="shared" si="31"/>
        <v>23.155214285714283</v>
      </c>
    </row>
    <row r="661" spans="1:10" ht="15.75" thickBot="1">
      <c r="A661" s="67">
        <v>16</v>
      </c>
      <c r="B661" s="68" t="s">
        <v>42</v>
      </c>
      <c r="C661" s="68" t="s">
        <v>123</v>
      </c>
      <c r="D661" s="68" t="s">
        <v>124</v>
      </c>
      <c r="E661" s="69">
        <v>120.572</v>
      </c>
      <c r="F661" s="69">
        <v>249.34</v>
      </c>
      <c r="G661" s="8">
        <f t="shared" si="30"/>
        <v>30063.422480000001</v>
      </c>
      <c r="H661" s="70">
        <v>30063.18</v>
      </c>
      <c r="I661" s="68">
        <v>31000</v>
      </c>
      <c r="J661" s="41">
        <f t="shared" si="31"/>
        <v>-3.0219999999999989</v>
      </c>
    </row>
    <row r="662" spans="1:10" ht="15.75" thickBot="1">
      <c r="A662" s="67">
        <v>17</v>
      </c>
      <c r="B662" s="68" t="s">
        <v>15</v>
      </c>
      <c r="C662" s="68" t="s">
        <v>165</v>
      </c>
      <c r="D662" s="68" t="s">
        <v>162</v>
      </c>
      <c r="E662" s="69">
        <v>788.69200000000001</v>
      </c>
      <c r="F662" s="69">
        <v>95.13</v>
      </c>
      <c r="G662" s="8">
        <f t="shared" si="30"/>
        <v>75028.269959999991</v>
      </c>
      <c r="H662" s="70">
        <v>75029.06</v>
      </c>
      <c r="I662" s="39">
        <v>54000</v>
      </c>
      <c r="J662" s="41">
        <f t="shared" si="31"/>
        <v>38.9427037037037</v>
      </c>
    </row>
    <row r="663" spans="1:10" ht="15.75" thickBot="1">
      <c r="A663" s="67">
        <v>18</v>
      </c>
      <c r="B663" s="68" t="s">
        <v>13</v>
      </c>
      <c r="C663" s="68" t="s">
        <v>166</v>
      </c>
      <c r="D663" s="68" t="s">
        <v>163</v>
      </c>
      <c r="E663" s="69">
        <v>374.77800000000002</v>
      </c>
      <c r="F663" s="69">
        <v>165.52</v>
      </c>
      <c r="G663" s="8">
        <f t="shared" si="30"/>
        <v>62033.254560000008</v>
      </c>
      <c r="H663" s="70">
        <v>62032.88</v>
      </c>
      <c r="I663" s="8">
        <v>48000</v>
      </c>
      <c r="J663" s="41">
        <f t="shared" si="31"/>
        <v>29.235166666666661</v>
      </c>
    </row>
    <row r="664" spans="1:10" ht="15.75" thickBot="1">
      <c r="A664" s="67">
        <v>19</v>
      </c>
      <c r="B664" s="68" t="s">
        <v>95</v>
      </c>
      <c r="C664" s="68" t="s">
        <v>128</v>
      </c>
      <c r="D664" s="68" t="s">
        <v>129</v>
      </c>
      <c r="E664" s="69">
        <v>383.78100000000001</v>
      </c>
      <c r="F664" s="69">
        <v>36.409999999999997</v>
      </c>
      <c r="G664" s="8">
        <f t="shared" si="30"/>
        <v>13973.466209999999</v>
      </c>
      <c r="H664" s="70">
        <v>13974.23</v>
      </c>
      <c r="I664" s="69">
        <v>15000</v>
      </c>
      <c r="J664" s="41">
        <f t="shared" si="31"/>
        <v>-6.8384666666666689</v>
      </c>
    </row>
    <row r="665" spans="1:10" ht="15.75" thickBot="1">
      <c r="A665" s="72">
        <v>20</v>
      </c>
      <c r="B665" s="68" t="s">
        <v>93</v>
      </c>
      <c r="C665" s="68" t="s">
        <v>167</v>
      </c>
      <c r="D665" s="68" t="s">
        <v>164</v>
      </c>
      <c r="E665" s="68">
        <v>594.755</v>
      </c>
      <c r="F665" s="68">
        <v>25.16</v>
      </c>
      <c r="G665" s="8">
        <f t="shared" si="30"/>
        <v>14964.0358</v>
      </c>
      <c r="H665" s="87">
        <v>14962.25</v>
      </c>
      <c r="I665" s="69">
        <v>15000</v>
      </c>
      <c r="J665" s="41">
        <f t="shared" si="31"/>
        <v>-0.25166666666666665</v>
      </c>
    </row>
    <row r="666" spans="1:10" ht="15.75" thickBot="1">
      <c r="A666" s="72"/>
      <c r="B666" s="68"/>
      <c r="C666" s="68"/>
      <c r="D666" s="68"/>
      <c r="E666" s="68"/>
      <c r="F666" s="68"/>
      <c r="G666" s="8"/>
      <c r="H666" s="68"/>
      <c r="I666" s="68"/>
      <c r="J666" s="68"/>
    </row>
    <row r="667" spans="1:10" ht="15.75" thickBot="1">
      <c r="A667" s="72"/>
      <c r="B667" s="68"/>
      <c r="C667" s="68"/>
      <c r="D667" s="68"/>
      <c r="E667" s="68"/>
      <c r="F667" s="68"/>
      <c r="G667" s="8"/>
      <c r="H667" s="68"/>
      <c r="I667" s="68"/>
      <c r="J667" s="68"/>
    </row>
    <row r="668" spans="1:10" ht="15.75" thickBot="1">
      <c r="A668" s="72"/>
      <c r="B668" s="68"/>
      <c r="C668" s="68"/>
      <c r="D668" s="68"/>
      <c r="E668" s="68"/>
      <c r="F668" s="68"/>
      <c r="G668" s="8"/>
      <c r="H668" s="68"/>
      <c r="I668" s="68"/>
      <c r="J668" s="68"/>
    </row>
    <row r="669" spans="1:10" ht="15.75" thickBot="1">
      <c r="A669" s="72"/>
      <c r="B669" s="68"/>
      <c r="C669" s="68"/>
      <c r="D669" s="68"/>
      <c r="E669" s="68"/>
      <c r="F669" s="68"/>
      <c r="G669" s="8"/>
      <c r="H669" s="68"/>
      <c r="I669" s="68"/>
      <c r="J669" s="68"/>
    </row>
    <row r="670" spans="1:10" ht="15.75" thickBot="1">
      <c r="A670" s="73"/>
      <c r="B670" s="74"/>
      <c r="C670" s="74"/>
      <c r="D670" s="74"/>
      <c r="E670" s="74"/>
      <c r="F670" s="74"/>
      <c r="G670" s="74">
        <f>SUM(G646:G669)</f>
        <v>728536.94869999995</v>
      </c>
      <c r="H670" s="24">
        <f>SUM(H646:H669)</f>
        <v>728533.62</v>
      </c>
      <c r="I670" s="24">
        <f>SUM(I646:I669)</f>
        <v>597000</v>
      </c>
      <c r="J670" s="25">
        <f>((H670-I670)/I670)*100</f>
        <v>22.032432160804021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A10" sqref="A10"/>
    </sheetView>
  </sheetViews>
  <sheetFormatPr defaultRowHeight="15"/>
  <sheetData>
    <row r="1" spans="1:3" ht="15.75" thickBot="1">
      <c r="A1" s="8">
        <v>47000</v>
      </c>
      <c r="B1">
        <v>1000</v>
      </c>
      <c r="C1">
        <f>SUM(A1:B1)</f>
        <v>48000</v>
      </c>
    </row>
    <row r="2" spans="1:3" ht="15.75" thickBot="1">
      <c r="A2" s="8">
        <v>52000</v>
      </c>
      <c r="B2">
        <v>1000</v>
      </c>
      <c r="C2">
        <f t="shared" ref="C2:C20" si="0">SUM(A2:B2)</f>
        <v>53000</v>
      </c>
    </row>
    <row r="3" spans="1:3" ht="15.75" thickBot="1">
      <c r="A3" s="68">
        <v>14000</v>
      </c>
      <c r="B3">
        <v>1000</v>
      </c>
      <c r="C3">
        <f t="shared" si="0"/>
        <v>15000</v>
      </c>
    </row>
    <row r="4" spans="1:3" ht="15.75" thickBot="1">
      <c r="A4" s="68">
        <v>14000</v>
      </c>
      <c r="B4">
        <v>1000</v>
      </c>
      <c r="C4">
        <f t="shared" si="0"/>
        <v>15000</v>
      </c>
    </row>
    <row r="5" spans="1:3" ht="15.75" thickBot="1">
      <c r="A5" s="68">
        <v>14000</v>
      </c>
      <c r="B5">
        <v>1000</v>
      </c>
      <c r="C5">
        <f t="shared" si="0"/>
        <v>15000</v>
      </c>
    </row>
    <row r="6" spans="1:3" ht="15.75" thickBot="1">
      <c r="A6" s="68">
        <v>15000</v>
      </c>
      <c r="B6">
        <v>1000</v>
      </c>
      <c r="C6">
        <f t="shared" si="0"/>
        <v>16000</v>
      </c>
    </row>
    <row r="7" spans="1:3" ht="15.75" thickBot="1">
      <c r="A7" s="68">
        <v>14000</v>
      </c>
      <c r="B7">
        <v>1000</v>
      </c>
      <c r="C7">
        <f t="shared" si="0"/>
        <v>15000</v>
      </c>
    </row>
    <row r="8" spans="1:3" ht="15.75" thickBot="1">
      <c r="A8" s="68">
        <v>14000</v>
      </c>
      <c r="B8">
        <v>1000</v>
      </c>
      <c r="C8">
        <f t="shared" si="0"/>
        <v>15000</v>
      </c>
    </row>
    <row r="9" spans="1:3" ht="15.75" thickBot="1">
      <c r="A9" s="68">
        <v>19000</v>
      </c>
      <c r="B9">
        <v>1000</v>
      </c>
      <c r="C9">
        <f t="shared" si="0"/>
        <v>20000</v>
      </c>
    </row>
    <row r="10" spans="1:3" ht="15.75" thickBot="1">
      <c r="A10" s="88">
        <v>26000</v>
      </c>
      <c r="B10">
        <v>2000</v>
      </c>
      <c r="C10">
        <f t="shared" si="0"/>
        <v>28000</v>
      </c>
    </row>
    <row r="11" spans="1:3" ht="15.75" thickBot="1">
      <c r="A11" s="8">
        <v>47000</v>
      </c>
      <c r="B11">
        <v>1000</v>
      </c>
      <c r="C11">
        <f t="shared" si="0"/>
        <v>48000</v>
      </c>
    </row>
    <row r="12" spans="1:3" ht="15.75" thickBot="1">
      <c r="A12" s="8">
        <v>47000</v>
      </c>
      <c r="B12">
        <v>1000</v>
      </c>
      <c r="C12">
        <f t="shared" si="0"/>
        <v>48000</v>
      </c>
    </row>
    <row r="13" spans="1:3" ht="15.75" thickBot="1">
      <c r="A13" s="8">
        <v>49000</v>
      </c>
      <c r="B13">
        <v>1000</v>
      </c>
      <c r="C13">
        <f t="shared" si="0"/>
        <v>50000</v>
      </c>
    </row>
    <row r="14" spans="1:3" ht="15.75" thickBot="1">
      <c r="A14" s="8">
        <v>19000</v>
      </c>
      <c r="B14">
        <v>1000</v>
      </c>
      <c r="C14">
        <f t="shared" si="0"/>
        <v>20000</v>
      </c>
    </row>
    <row r="15" spans="1:3" ht="15.75" thickBot="1">
      <c r="A15" s="8">
        <v>27000</v>
      </c>
      <c r="B15">
        <v>1000</v>
      </c>
      <c r="C15">
        <f t="shared" si="0"/>
        <v>28000</v>
      </c>
    </row>
    <row r="16" spans="1:3" ht="15.75" thickBot="1">
      <c r="A16" s="68">
        <v>30000</v>
      </c>
      <c r="B16">
        <v>1000</v>
      </c>
      <c r="C16">
        <f t="shared" si="0"/>
        <v>31000</v>
      </c>
    </row>
    <row r="17" spans="1:3" ht="15.75" thickBot="1">
      <c r="A17" s="39">
        <v>53000</v>
      </c>
      <c r="B17">
        <v>1000</v>
      </c>
      <c r="C17">
        <f t="shared" si="0"/>
        <v>54000</v>
      </c>
    </row>
    <row r="18" spans="1:3" ht="15.75" thickBot="1">
      <c r="A18" s="8">
        <v>47000</v>
      </c>
      <c r="B18">
        <v>1000</v>
      </c>
      <c r="C18">
        <f t="shared" si="0"/>
        <v>48000</v>
      </c>
    </row>
    <row r="19" spans="1:3" ht="15.75" thickBot="1">
      <c r="A19" s="69">
        <v>14000</v>
      </c>
      <c r="B19">
        <v>1000</v>
      </c>
      <c r="C19">
        <f t="shared" si="0"/>
        <v>15000</v>
      </c>
    </row>
    <row r="20" spans="1:3" ht="15.75" thickBot="1">
      <c r="A20" s="69">
        <v>14000</v>
      </c>
      <c r="B20">
        <v>1000</v>
      </c>
      <c r="C20">
        <f t="shared" si="0"/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MF_4</vt:lpstr>
      <vt:lpstr>NAV_Calculator</vt:lpstr>
      <vt:lpstr>Profit&amp;loss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CHINMOY ROY</dc:creator>
  <cp:lastModifiedBy>CHINMOY ROY</cp:lastModifiedBy>
  <dcterms:created xsi:type="dcterms:W3CDTF">2024-08-11T13:22:28Z</dcterms:created>
  <dcterms:modified xsi:type="dcterms:W3CDTF">2025-12-20T03:46:00Z</dcterms:modified>
</cp:coreProperties>
</file>